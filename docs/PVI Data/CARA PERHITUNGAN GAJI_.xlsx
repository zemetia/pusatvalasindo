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FTAR GAJI PKD" sheetId="1" r:id="rId5"/>
    <sheet state="visible" name="JENIS POTONGAN PKD" sheetId="2" r:id="rId6"/>
    <sheet state="visible" name="MATRIX BONUS KPI PKD" sheetId="3" r:id="rId7"/>
    <sheet state="visible" name="CONTOH PERHITUNGAN GAJI SEKARAN" sheetId="4" r:id="rId8"/>
  </sheets>
  <definedNames/>
  <calcPr/>
</workbook>
</file>

<file path=xl/sharedStrings.xml><?xml version="1.0" encoding="utf-8"?>
<sst xmlns="http://schemas.openxmlformats.org/spreadsheetml/2006/main" count="76" uniqueCount="67">
  <si>
    <t xml:space="preserve">NO </t>
  </si>
  <si>
    <t xml:space="preserve">NAMA </t>
  </si>
  <si>
    <t xml:space="preserve">STATUS KARYAWAN </t>
  </si>
  <si>
    <t xml:space="preserve">PERIODE KERJA </t>
  </si>
  <si>
    <t xml:space="preserve">GAJI POKOK </t>
  </si>
  <si>
    <t xml:space="preserve">UANG MAKAN </t>
  </si>
  <si>
    <t xml:space="preserve">UANG TRANSPORT </t>
  </si>
  <si>
    <t xml:space="preserve">BPJS </t>
  </si>
  <si>
    <t xml:space="preserve">JABATAN </t>
  </si>
  <si>
    <t xml:space="preserve">TOTAL GAJI </t>
  </si>
  <si>
    <t xml:space="preserve">AMBAR LESTYOWATI </t>
  </si>
  <si>
    <t xml:space="preserve">TETAP </t>
  </si>
  <si>
    <t xml:space="preserve">2 TAHUN </t>
  </si>
  <si>
    <t xml:space="preserve">VINNY LAURENSIA </t>
  </si>
  <si>
    <t xml:space="preserve">NATHANIA NADINE N </t>
  </si>
  <si>
    <t xml:space="preserve">PKWT SENIOR </t>
  </si>
  <si>
    <t xml:space="preserve">1 TAHUN </t>
  </si>
  <si>
    <t xml:space="preserve">NAMA KARYAWAN </t>
  </si>
  <si>
    <t xml:space="preserve">TELAT </t>
  </si>
  <si>
    <t xml:space="preserve">IJIN </t>
  </si>
  <si>
    <t xml:space="preserve">SAKIT </t>
  </si>
  <si>
    <t>ALPA</t>
  </si>
  <si>
    <t xml:space="preserve">HUTANG KARYAWAN </t>
  </si>
  <si>
    <t xml:space="preserve">TABUNGAN KARYAWAN </t>
  </si>
  <si>
    <t>PAJAK PPH 21</t>
  </si>
  <si>
    <t xml:space="preserve">TOTAL POTONGAN </t>
  </si>
  <si>
    <t>TELAT 3X</t>
  </si>
  <si>
    <t>TELAT MULAI KE-4</t>
  </si>
  <si>
    <t xml:space="preserve">TELAT DATANG PIKET </t>
  </si>
  <si>
    <t xml:space="preserve">TELAT SETELAH LIBUR PANJANG </t>
  </si>
  <si>
    <t xml:space="preserve">TIDAK MASUK SETELAH LIBUR PANJANG </t>
  </si>
  <si>
    <t xml:space="preserve"> POTONGAN RP 1.000/MENIT</t>
  </si>
  <si>
    <t xml:space="preserve">POTONGAN RP 2.000/MENIT </t>
  </si>
  <si>
    <t>POTONGAN RP 500.000</t>
  </si>
  <si>
    <t>POTONGAN RP 1.000.000</t>
  </si>
  <si>
    <t xml:space="preserve">NATHANIA NADINE </t>
  </si>
  <si>
    <t xml:space="preserve">BONUS PENJUALAN BULANAN </t>
  </si>
  <si>
    <t xml:space="preserve">SALES AND COMPLIANCE </t>
  </si>
  <si>
    <t>80%-100%</t>
  </si>
  <si>
    <t xml:space="preserve">PER ORANG </t>
  </si>
  <si>
    <t>70%-80%</t>
  </si>
  <si>
    <t>BONUS BULAN 13 (DESEMBER)</t>
  </si>
  <si>
    <t xml:space="preserve">BONUS THR KARYAWAN </t>
  </si>
  <si>
    <t xml:space="preserve">KARYAWAN PUSAT KIRIM DUIT </t>
  </si>
  <si>
    <t>GAJI DESEMBER 2025</t>
  </si>
  <si>
    <t xml:space="preserve">NO REK </t>
  </si>
  <si>
    <t xml:space="preserve">TOTAL </t>
  </si>
  <si>
    <t>AMBAR</t>
  </si>
  <si>
    <t>SURAT PERINGATAN 1</t>
  </si>
  <si>
    <t>AMBAR JAM MASUK 07.40</t>
  </si>
  <si>
    <t>IJIN SAKIT</t>
  </si>
  <si>
    <t xml:space="preserve">HABIS </t>
  </si>
  <si>
    <t xml:space="preserve">KARYAWAN TETAP </t>
  </si>
  <si>
    <t>NATHANIA NADINE</t>
  </si>
  <si>
    <t xml:space="preserve">Gaji Pokok </t>
  </si>
  <si>
    <t xml:space="preserve">HUTANG POKOK 15JT - 3JT = SISA 12JT </t>
  </si>
  <si>
    <t>Uang Makan</t>
  </si>
  <si>
    <t>TELAT TGL 27 NOV (07.45)</t>
  </si>
  <si>
    <t>Uang Transport</t>
  </si>
  <si>
    <t>TELAT TGL 28 NOV (07.47)</t>
  </si>
  <si>
    <t xml:space="preserve">PKD TOTAL 3 SLIP </t>
  </si>
  <si>
    <t>BPJS</t>
  </si>
  <si>
    <t>IJIN TGL 4 DES (ACC BOS)</t>
  </si>
  <si>
    <t>Jabatan</t>
  </si>
  <si>
    <t>TELAT TGL 18 DES (07.45)</t>
  </si>
  <si>
    <t xml:space="preserve">BONUS BULAN 13 </t>
  </si>
  <si>
    <t xml:space="preserve">KPI BONUS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</si>
</sst>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sz val="15.0"/>
      <color theme="1"/>
      <name val="Arial"/>
      <scheme val="minor"/>
    </font>
    <font/>
    <font>
      <b/>
      <sz val="13.0"/>
      <color theme="1"/>
      <name val="Arial"/>
      <scheme val="minor"/>
    </font>
    <font>
      <b/>
      <sz val="12.0"/>
      <color theme="1"/>
      <name val="Arial"/>
      <scheme val="minor"/>
    </font>
    <font>
      <b/>
      <sz val="28.0"/>
      <color theme="1"/>
      <name val="Calibri"/>
    </font>
    <font>
      <color theme="1"/>
      <name val="Arial"/>
    </font>
    <font>
      <b/>
      <sz val="26.0"/>
      <color rgb="FFFF0000"/>
      <name val="Calibri"/>
    </font>
    <font>
      <b/>
      <color theme="1"/>
      <name val="Arial"/>
    </font>
    <font>
      <sz val="11.0"/>
      <color theme="1"/>
      <name val="Calibri"/>
    </font>
    <font>
      <b/>
      <sz val="12.0"/>
      <color rgb="FFFF0000"/>
      <name val="Arial"/>
    </font>
    <font>
      <b/>
      <sz val="11.0"/>
      <color rgb="FFFF0000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AEEF3"/>
        <bgColor rgb="FFDAEEF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3" xfId="0" applyFont="1" applyNumberFormat="1"/>
    <xf borderId="0" fillId="0" fontId="1" numFmtId="3" xfId="0" applyAlignment="1" applyFont="1" applyNumberFormat="1">
      <alignment readingOrder="0"/>
    </xf>
    <xf borderId="1" fillId="2" fontId="2" numFmtId="3" xfId="0" applyAlignment="1" applyBorder="1" applyFill="1" applyFont="1" applyNumberFormat="1">
      <alignment horizontal="center" readingOrder="0"/>
    </xf>
    <xf borderId="1" fillId="0" fontId="1" numFmtId="3" xfId="0" applyAlignment="1" applyBorder="1" applyFont="1" applyNumberFormat="1">
      <alignment readingOrder="0"/>
    </xf>
    <xf borderId="1" fillId="0" fontId="1" numFmtId="3" xfId="0" applyBorder="1" applyFont="1" applyNumberFormat="1"/>
    <xf borderId="0" fillId="3" fontId="3" numFmtId="3" xfId="0" applyAlignment="1" applyFill="1" applyFont="1" applyNumberFormat="1">
      <alignment horizontal="center" readingOrder="0"/>
    </xf>
    <xf borderId="0" fillId="3" fontId="3" numFmtId="3" xfId="0" applyAlignment="1" applyFont="1" applyNumberFormat="1">
      <alignment horizontal="center" readingOrder="0" shrinkToFit="0" wrapText="1"/>
    </xf>
    <xf borderId="2" fillId="3" fontId="3" numFmtId="3" xfId="0" applyAlignment="1" applyBorder="1" applyFont="1" applyNumberFormat="1">
      <alignment horizontal="center" readingOrder="0"/>
    </xf>
    <xf borderId="3" fillId="0" fontId="4" numFmtId="0" xfId="0" applyBorder="1" applyFont="1"/>
    <xf borderId="4" fillId="0" fontId="4" numFmtId="0" xfId="0" applyBorder="1" applyFont="1"/>
    <xf borderId="5" fillId="3" fontId="5" numFmtId="3" xfId="0" applyAlignment="1" applyBorder="1" applyFont="1" applyNumberFormat="1">
      <alignment horizontal="center" readingOrder="0"/>
    </xf>
    <xf borderId="5" fillId="3" fontId="5" numFmtId="3" xfId="0" applyAlignment="1" applyBorder="1" applyFont="1" applyNumberFormat="1">
      <alignment horizontal="center" readingOrder="0" shrinkToFit="0" wrapText="1"/>
    </xf>
    <xf borderId="5" fillId="3" fontId="6" numFmtId="3" xfId="0" applyAlignment="1" applyBorder="1" applyFont="1" applyNumberFormat="1">
      <alignment readingOrder="0" shrinkToFit="0" wrapText="1"/>
    </xf>
    <xf borderId="1" fillId="4" fontId="1" numFmtId="3" xfId="0" applyAlignment="1" applyBorder="1" applyFill="1" applyFont="1" applyNumberFormat="1">
      <alignment readingOrder="0"/>
    </xf>
    <xf borderId="1" fillId="4" fontId="1" numFmtId="3" xfId="0" applyAlignment="1" applyBorder="1" applyFont="1" applyNumberFormat="1">
      <alignment readingOrder="0" shrinkToFit="0" wrapText="1"/>
    </xf>
    <xf borderId="6" fillId="0" fontId="4" numFmtId="0" xfId="0" applyBorder="1" applyFont="1"/>
    <xf borderId="7" fillId="0" fontId="4" numFmtId="0" xfId="0" applyBorder="1" applyFont="1"/>
    <xf borderId="0" fillId="0" fontId="5" numFmtId="3" xfId="0" applyAlignment="1" applyFont="1" applyNumberFormat="1">
      <alignment readingOrder="0"/>
    </xf>
    <xf borderId="0" fillId="0" fontId="5" numFmtId="3" xfId="0" applyFont="1" applyNumberFormat="1"/>
    <xf borderId="0" fillId="0" fontId="7" numFmtId="0" xfId="0" applyAlignment="1" applyFont="1">
      <alignment vertical="bottom"/>
    </xf>
    <xf borderId="0" fillId="0" fontId="8" numFmtId="3" xfId="0" applyAlignment="1" applyFont="1" applyNumberFormat="1">
      <alignment vertical="bottom"/>
    </xf>
    <xf borderId="0" fillId="0" fontId="8" numFmtId="0" xfId="0" applyAlignment="1" applyFont="1">
      <alignment vertical="bottom"/>
    </xf>
    <xf borderId="0" fillId="3" fontId="9" numFmtId="0" xfId="0" applyAlignment="1" applyFont="1">
      <alignment vertical="bottom"/>
    </xf>
    <xf borderId="0" fillId="3" fontId="8" numFmtId="0" xfId="0" applyAlignment="1" applyFont="1">
      <alignment vertical="bottom"/>
    </xf>
    <xf borderId="1" fillId="0" fontId="10" numFmtId="0" xfId="0" applyAlignment="1" applyBorder="1" applyFont="1">
      <alignment horizontal="center" vertical="bottom"/>
    </xf>
    <xf borderId="0" fillId="0" fontId="11" numFmtId="0" xfId="0" applyAlignment="1" applyFont="1">
      <alignment vertical="bottom"/>
    </xf>
    <xf borderId="0" fillId="5" fontId="12" numFmtId="0" xfId="0" applyAlignment="1" applyFill="1" applyFont="1">
      <alignment horizontal="center" readingOrder="0" vertical="bottom"/>
    </xf>
    <xf borderId="0" fillId="5" fontId="8" numFmtId="3" xfId="0" applyAlignment="1" applyFont="1" applyNumberFormat="1">
      <alignment vertical="bottom"/>
    </xf>
    <xf borderId="0" fillId="5" fontId="8" numFmtId="0" xfId="0" applyAlignment="1" applyFont="1">
      <alignment vertical="bottom"/>
    </xf>
    <xf borderId="1" fillId="0" fontId="8" numFmtId="0" xfId="0" applyAlignment="1" applyBorder="1" applyFont="1">
      <alignment vertical="bottom"/>
    </xf>
    <xf borderId="1" fillId="0" fontId="8" numFmtId="0" xfId="0" applyAlignment="1" applyBorder="1" applyFont="1">
      <alignment horizontal="right" vertical="bottom"/>
    </xf>
    <xf borderId="1" fillId="3" fontId="8" numFmtId="3" xfId="0" applyAlignment="1" applyBorder="1" applyFont="1" applyNumberFormat="1">
      <alignment horizontal="right" vertical="bottom"/>
    </xf>
    <xf borderId="0" fillId="5" fontId="13" numFmtId="0" xfId="0" applyAlignment="1" applyFont="1">
      <alignment vertical="bottom"/>
    </xf>
    <xf borderId="0" fillId="5" fontId="13" numFmtId="0" xfId="0" applyAlignment="1" applyFont="1">
      <alignment horizontal="right" vertical="bottom"/>
    </xf>
    <xf borderId="0" fillId="6" fontId="8" numFmtId="0" xfId="0" applyAlignment="1" applyFill="1" applyFont="1">
      <alignment vertical="bottom"/>
    </xf>
    <xf borderId="1" fillId="7" fontId="8" numFmtId="0" xfId="0" applyAlignment="1" applyBorder="1" applyFill="1" applyFont="1">
      <alignment horizontal="right" vertical="bottom"/>
    </xf>
    <xf borderId="1" fillId="7" fontId="11" numFmtId="0" xfId="0" applyAlignment="1" applyBorder="1" applyFont="1">
      <alignment vertical="bottom"/>
    </xf>
    <xf borderId="4" fillId="0" fontId="11" numFmtId="3" xfId="0" applyAlignment="1" applyBorder="1" applyFont="1" applyNumberFormat="1">
      <alignment horizontal="right" vertical="bottom"/>
    </xf>
    <xf borderId="4" fillId="0" fontId="8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4" fillId="0" fontId="8" numFmtId="3" xfId="0" applyAlignment="1" applyBorder="1" applyFont="1" applyNumberFormat="1">
      <alignment horizontal="right" vertical="bottom"/>
    </xf>
    <xf borderId="4" fillId="0" fontId="8" numFmtId="3" xfId="0" applyAlignment="1" applyBorder="1" applyFont="1" applyNumberFormat="1">
      <alignment vertical="bottom"/>
    </xf>
    <xf borderId="7" fillId="0" fontId="11" numFmtId="0" xfId="0" applyAlignment="1" applyBorder="1" applyFont="1">
      <alignment vertical="bottom"/>
    </xf>
    <xf borderId="8" fillId="0" fontId="11" numFmtId="3" xfId="0" applyAlignment="1" applyBorder="1" applyFont="1" applyNumberFormat="1">
      <alignment horizontal="right" vertical="bottom"/>
    </xf>
    <xf borderId="8" fillId="0" fontId="8" numFmtId="0" xfId="0" applyAlignment="1" applyBorder="1" applyFont="1">
      <alignment vertical="bottom"/>
    </xf>
    <xf borderId="8" fillId="0" fontId="11" numFmtId="0" xfId="0" applyAlignment="1" applyBorder="1" applyFont="1">
      <alignment vertical="bottom"/>
    </xf>
    <xf borderId="8" fillId="0" fontId="8" numFmtId="3" xfId="0" applyAlignment="1" applyBorder="1" applyFont="1" applyNumberFormat="1">
      <alignment horizontal="right" vertical="bottom"/>
    </xf>
    <xf borderId="8" fillId="0" fontId="8" numFmtId="3" xfId="0" applyAlignment="1" applyBorder="1" applyFont="1" applyNumberFormat="1">
      <alignment vertical="bottom"/>
    </xf>
    <xf borderId="0" fillId="7" fontId="8" numFmtId="3" xfId="0" applyAlignment="1" applyFont="1" applyNumberFormat="1">
      <alignment horizontal="right" vertical="bottom"/>
    </xf>
    <xf borderId="8" fillId="0" fontId="8" numFmtId="0" xfId="0" applyAlignment="1" applyBorder="1" applyFont="1">
      <alignment readingOrder="0" vertical="bottom"/>
    </xf>
    <xf borderId="7" fillId="0" fontId="8" numFmtId="0" xfId="0" applyAlignment="1" applyBorder="1" applyFont="1">
      <alignment readingOrder="0" vertical="bottom"/>
    </xf>
    <xf borderId="7" fillId="0" fontId="8" numFmtId="0" xfId="0" applyAlignment="1" applyBorder="1" applyFont="1">
      <alignment vertical="bottom"/>
    </xf>
    <xf borderId="8" fillId="7" fontId="13" numFmtId="3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9.75"/>
    <col customWidth="1" min="3" max="3" width="18.5"/>
    <col customWidth="1" min="4" max="4" width="16.63"/>
    <col customWidth="1" min="6" max="6" width="16.38"/>
    <col customWidth="1" min="7" max="7" width="18.0"/>
  </cols>
  <sheetData>
    <row r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2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22.5" customHeight="1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8.0" customHeight="1">
      <c r="A4" s="4">
        <v>1.0</v>
      </c>
      <c r="B4" s="4" t="s">
        <v>10</v>
      </c>
      <c r="C4" s="4" t="s">
        <v>11</v>
      </c>
      <c r="D4" s="4" t="s">
        <v>12</v>
      </c>
      <c r="E4" s="4">
        <v>3000000.0</v>
      </c>
      <c r="F4" s="4">
        <v>1725000.0</v>
      </c>
      <c r="G4" s="4">
        <v>1725000.0</v>
      </c>
      <c r="H4" s="4">
        <v>50000.0</v>
      </c>
      <c r="I4" s="4">
        <v>1000000.0</v>
      </c>
      <c r="J4" s="5">
        <f>SUM(E4:I4)</f>
        <v>7500000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20.25" customHeight="1">
      <c r="A5" s="4">
        <v>2.0</v>
      </c>
      <c r="B5" s="4" t="s">
        <v>13</v>
      </c>
      <c r="C5" s="4" t="s">
        <v>11</v>
      </c>
      <c r="D5" s="4" t="s">
        <v>12</v>
      </c>
      <c r="E5" s="4">
        <v>2250000.0</v>
      </c>
      <c r="F5" s="4">
        <v>1250000.0</v>
      </c>
      <c r="G5" s="4">
        <v>1250000.0</v>
      </c>
      <c r="H5" s="4">
        <v>50000.0</v>
      </c>
      <c r="I5" s="4"/>
      <c r="J5" s="5">
        <f t="shared" ref="J5:J6" si="1">SUM(D5:I5)</f>
        <v>4800000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8.75" customHeight="1">
      <c r="A6" s="4">
        <v>3.0</v>
      </c>
      <c r="B6" s="4" t="s">
        <v>14</v>
      </c>
      <c r="C6" s="4" t="s">
        <v>15</v>
      </c>
      <c r="D6" s="4" t="s">
        <v>16</v>
      </c>
      <c r="E6" s="4">
        <v>1300000.0</v>
      </c>
      <c r="F6" s="4">
        <v>1197500.0</v>
      </c>
      <c r="G6" s="4">
        <v>1197500.0</v>
      </c>
      <c r="H6" s="4">
        <v>50000.0</v>
      </c>
      <c r="I6" s="5"/>
      <c r="J6" s="5">
        <f t="shared" si="1"/>
        <v>3745000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21.5"/>
    <col customWidth="1" min="3" max="3" width="13.75"/>
    <col customWidth="1" min="4" max="4" width="16.13"/>
    <col customWidth="1" min="5" max="5" width="14.25"/>
    <col customWidth="1" min="6" max="6" width="16.25"/>
    <col customWidth="1" min="7" max="7" width="16.13"/>
    <col customWidth="1" min="8" max="8" width="9.0"/>
    <col customWidth="1" min="9" max="9" width="8.0"/>
    <col customWidth="1" min="10" max="10" width="7.0"/>
    <col customWidth="1" min="11" max="12" width="13.75"/>
    <col customWidth="1" min="13" max="13" width="15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>
      <c r="A3" s="6" t="s">
        <v>0</v>
      </c>
      <c r="B3" s="7" t="s">
        <v>17</v>
      </c>
      <c r="C3" s="8" t="s">
        <v>18</v>
      </c>
      <c r="D3" s="9"/>
      <c r="E3" s="9"/>
      <c r="F3" s="9"/>
      <c r="G3" s="10"/>
      <c r="H3" s="11" t="s">
        <v>19</v>
      </c>
      <c r="I3" s="11" t="s">
        <v>20</v>
      </c>
      <c r="J3" s="11" t="s">
        <v>21</v>
      </c>
      <c r="K3" s="12" t="s">
        <v>22</v>
      </c>
      <c r="L3" s="12" t="s">
        <v>23</v>
      </c>
      <c r="M3" s="11" t="s">
        <v>24</v>
      </c>
      <c r="N3" s="13" t="s">
        <v>25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>
      <c r="C4" s="14" t="s">
        <v>26</v>
      </c>
      <c r="D4" s="14" t="s">
        <v>27</v>
      </c>
      <c r="E4" s="15" t="s">
        <v>28</v>
      </c>
      <c r="F4" s="15" t="s">
        <v>29</v>
      </c>
      <c r="G4" s="15" t="s">
        <v>30</v>
      </c>
      <c r="H4" s="16"/>
      <c r="I4" s="16"/>
      <c r="J4" s="16"/>
      <c r="K4" s="16"/>
      <c r="L4" s="16"/>
      <c r="M4" s="16"/>
      <c r="N4" s="16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>
      <c r="C5" s="15" t="s">
        <v>31</v>
      </c>
      <c r="D5" s="15" t="s">
        <v>32</v>
      </c>
      <c r="E5" s="15" t="s">
        <v>31</v>
      </c>
      <c r="F5" s="15" t="s">
        <v>33</v>
      </c>
      <c r="G5" s="15" t="s">
        <v>34</v>
      </c>
      <c r="H5" s="17"/>
      <c r="I5" s="17"/>
      <c r="J5" s="17"/>
      <c r="K5" s="17"/>
      <c r="L5" s="17"/>
      <c r="M5" s="17"/>
      <c r="N5" s="17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>
      <c r="A6" s="4">
        <v>1.0</v>
      </c>
      <c r="B6" s="4" t="s">
        <v>10</v>
      </c>
      <c r="C6" s="4">
        <v>14000.0</v>
      </c>
      <c r="D6" s="5"/>
      <c r="E6" s="5"/>
      <c r="F6" s="5"/>
      <c r="G6" s="5"/>
      <c r="H6" s="5"/>
      <c r="I6" s="5"/>
      <c r="J6" s="5"/>
      <c r="K6" s="4">
        <v>3000000.0</v>
      </c>
      <c r="L6" s="5"/>
      <c r="M6" s="5"/>
      <c r="N6" s="5">
        <f t="shared" ref="N6:N8" si="1">SUM(C6:M6)</f>
        <v>3014000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>
      <c r="A7" s="4">
        <v>2.0</v>
      </c>
      <c r="B7" s="4" t="s">
        <v>13</v>
      </c>
      <c r="C7" s="5"/>
      <c r="D7" s="5"/>
      <c r="E7" s="5"/>
      <c r="F7" s="5"/>
      <c r="G7" s="5"/>
      <c r="H7" s="5"/>
      <c r="I7" s="4">
        <v>593748.0</v>
      </c>
      <c r="J7" s="5"/>
      <c r="K7" s="5"/>
      <c r="L7" s="5"/>
      <c r="M7" s="5"/>
      <c r="N7" s="5">
        <f t="shared" si="1"/>
        <v>593748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>
      <c r="A8" s="4">
        <v>3.0</v>
      </c>
      <c r="B8" s="4" t="s">
        <v>35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>
        <f t="shared" si="1"/>
        <v>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</row>
  </sheetData>
  <mergeCells count="10">
    <mergeCell ref="L3:L5"/>
    <mergeCell ref="M3:M5"/>
    <mergeCell ref="N3:N5"/>
    <mergeCell ref="A3:A5"/>
    <mergeCell ref="B3:B5"/>
    <mergeCell ref="C3:G3"/>
    <mergeCell ref="H3:H5"/>
    <mergeCell ref="I3:I5"/>
    <mergeCell ref="J3:J5"/>
    <mergeCell ref="K3:K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8" t="s">
        <v>36</v>
      </c>
      <c r="D1" s="1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 t="s">
        <v>37</v>
      </c>
      <c r="C3" s="1"/>
      <c r="D3" s="2" t="s">
        <v>38</v>
      </c>
      <c r="E3" s="2">
        <v>250000.0</v>
      </c>
      <c r="F3" s="2" t="s">
        <v>39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2" t="s">
        <v>40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8" t="s">
        <v>41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8" t="s">
        <v>42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4" max="4" width="26.25"/>
    <col customWidth="1" min="8" max="8" width="16.0"/>
  </cols>
  <sheetData>
    <row r="1">
      <c r="A1" s="20" t="s">
        <v>43</v>
      </c>
      <c r="E1" s="21"/>
      <c r="F1" s="22"/>
      <c r="G1" s="22"/>
      <c r="H1" s="22"/>
      <c r="I1" s="22"/>
      <c r="J1" s="22"/>
    </row>
    <row r="2">
      <c r="A2" s="22"/>
      <c r="B2" s="22"/>
      <c r="C2" s="22"/>
      <c r="D2" s="22"/>
      <c r="E2" s="21"/>
      <c r="F2" s="22"/>
      <c r="G2" s="22"/>
      <c r="H2" s="22"/>
      <c r="I2" s="22"/>
      <c r="J2" s="22"/>
    </row>
    <row r="3">
      <c r="A3" s="22"/>
      <c r="B3" s="22"/>
      <c r="C3" s="22"/>
      <c r="D3" s="22"/>
      <c r="E3" s="21"/>
      <c r="F3" s="22"/>
      <c r="G3" s="22"/>
      <c r="H3" s="22"/>
      <c r="I3" s="22"/>
      <c r="J3" s="22"/>
    </row>
    <row r="4">
      <c r="A4" s="23" t="s">
        <v>44</v>
      </c>
      <c r="B4" s="24"/>
      <c r="C4" s="24"/>
      <c r="D4" s="24"/>
      <c r="E4" s="21"/>
      <c r="F4" s="22"/>
      <c r="G4" s="22"/>
      <c r="H4" s="25" t="s">
        <v>1</v>
      </c>
      <c r="I4" s="25" t="s">
        <v>45</v>
      </c>
      <c r="J4" s="25" t="s">
        <v>46</v>
      </c>
    </row>
    <row r="5">
      <c r="A5" s="23" t="s">
        <v>47</v>
      </c>
      <c r="B5" s="26"/>
      <c r="C5" s="22"/>
      <c r="D5" s="27" t="s">
        <v>48</v>
      </c>
      <c r="E5" s="28"/>
      <c r="F5" s="29"/>
      <c r="G5" s="22"/>
      <c r="H5" s="30" t="s">
        <v>10</v>
      </c>
      <c r="I5" s="31">
        <v>3.930458006E9</v>
      </c>
      <c r="J5" s="32"/>
    </row>
    <row r="6">
      <c r="A6" s="26" t="s">
        <v>49</v>
      </c>
      <c r="B6" s="22"/>
      <c r="C6" s="22"/>
      <c r="D6" s="33" t="s">
        <v>50</v>
      </c>
      <c r="E6" s="28"/>
      <c r="F6" s="34" t="s">
        <v>51</v>
      </c>
      <c r="G6" s="22"/>
      <c r="H6" s="30" t="s">
        <v>13</v>
      </c>
      <c r="I6" s="31">
        <v>7.015351128E9</v>
      </c>
      <c r="J6" s="32" t="str">
        <f>F34</f>
        <v/>
      </c>
    </row>
    <row r="7">
      <c r="A7" s="35" t="s">
        <v>52</v>
      </c>
      <c r="B7" s="22"/>
      <c r="C7" s="22"/>
      <c r="D7" s="29"/>
      <c r="E7" s="28"/>
      <c r="F7" s="29"/>
      <c r="G7" s="22"/>
      <c r="H7" s="30" t="s">
        <v>53</v>
      </c>
      <c r="I7" s="36">
        <v>7.58093591E9</v>
      </c>
      <c r="J7" s="32" t="str">
        <f>F48</f>
        <v/>
      </c>
    </row>
    <row r="8">
      <c r="A8" s="37" t="s">
        <v>54</v>
      </c>
      <c r="B8" s="38">
        <v>3000000.0</v>
      </c>
      <c r="C8" s="39"/>
      <c r="D8" s="40" t="s">
        <v>55</v>
      </c>
      <c r="E8" s="41">
        <v>3000000.0</v>
      </c>
      <c r="F8" s="42"/>
      <c r="G8" s="22"/>
      <c r="H8" s="22"/>
      <c r="I8" s="22"/>
      <c r="J8" s="22"/>
    </row>
    <row r="9">
      <c r="A9" s="43" t="s">
        <v>56</v>
      </c>
      <c r="B9" s="44">
        <v>1500000.0</v>
      </c>
      <c r="C9" s="45"/>
      <c r="D9" s="46" t="s">
        <v>57</v>
      </c>
      <c r="E9" s="47">
        <v>5000.0</v>
      </c>
      <c r="F9" s="48"/>
      <c r="G9" s="22"/>
      <c r="H9" s="22"/>
      <c r="I9" s="22"/>
      <c r="J9" s="22"/>
    </row>
    <row r="10">
      <c r="A10" s="43" t="s">
        <v>58</v>
      </c>
      <c r="B10" s="44">
        <v>1500000.0</v>
      </c>
      <c r="C10" s="45"/>
      <c r="D10" s="46" t="s">
        <v>59</v>
      </c>
      <c r="E10" s="47">
        <v>7000.0</v>
      </c>
      <c r="F10" s="48"/>
      <c r="G10" s="22"/>
      <c r="H10" s="22" t="s">
        <v>60</v>
      </c>
      <c r="I10" s="22"/>
      <c r="J10" s="49">
        <f>SUM(J5:J7)</f>
        <v>0</v>
      </c>
    </row>
    <row r="11">
      <c r="A11" s="43" t="s">
        <v>61</v>
      </c>
      <c r="B11" s="44">
        <v>50000.0</v>
      </c>
      <c r="C11" s="45"/>
      <c r="D11" s="46" t="s">
        <v>62</v>
      </c>
      <c r="E11" s="47">
        <v>250000.0</v>
      </c>
      <c r="F11" s="48"/>
      <c r="G11" s="22"/>
      <c r="H11" s="22"/>
      <c r="I11" s="22"/>
      <c r="J11" s="22"/>
    </row>
    <row r="12">
      <c r="A12" s="43" t="s">
        <v>63</v>
      </c>
      <c r="B12" s="44">
        <v>1000000.0</v>
      </c>
      <c r="C12" s="45"/>
      <c r="D12" s="46" t="s">
        <v>64</v>
      </c>
      <c r="E12" s="44">
        <v>5000.0</v>
      </c>
      <c r="F12" s="48"/>
      <c r="G12" s="22"/>
      <c r="H12" s="22"/>
      <c r="I12" s="22"/>
      <c r="J12" s="22"/>
    </row>
    <row r="13">
      <c r="A13" s="50" t="s">
        <v>65</v>
      </c>
      <c r="B13" s="47">
        <v>5441800.0</v>
      </c>
      <c r="C13" s="45"/>
      <c r="D13" s="45"/>
      <c r="E13" s="48"/>
      <c r="F13" s="48"/>
      <c r="G13" s="22"/>
      <c r="H13" s="22"/>
      <c r="I13" s="22"/>
      <c r="J13" s="22"/>
    </row>
    <row r="14">
      <c r="A14" s="51" t="s">
        <v>66</v>
      </c>
      <c r="B14" s="45"/>
      <c r="C14" s="45"/>
      <c r="D14" s="45"/>
      <c r="E14" s="48"/>
      <c r="F14" s="48"/>
      <c r="G14" s="22"/>
      <c r="H14" s="22"/>
      <c r="I14" s="22"/>
      <c r="J14" s="22"/>
    </row>
    <row r="15">
      <c r="A15" s="52"/>
      <c r="B15" s="45"/>
      <c r="C15" s="45"/>
      <c r="D15" s="45"/>
      <c r="E15" s="48"/>
      <c r="F15" s="48"/>
      <c r="G15" s="22"/>
      <c r="H15" s="22"/>
      <c r="I15" s="22"/>
      <c r="J15" s="22"/>
    </row>
    <row r="16">
      <c r="A16" s="52"/>
      <c r="B16" s="45"/>
      <c r="C16" s="45"/>
      <c r="D16" s="45"/>
      <c r="E16" s="48"/>
      <c r="F16" s="48"/>
      <c r="G16" s="22"/>
      <c r="H16" s="22"/>
      <c r="I16" s="22"/>
      <c r="J16" s="22"/>
    </row>
    <row r="17">
      <c r="A17" s="52"/>
      <c r="B17" s="45"/>
      <c r="C17" s="45"/>
      <c r="D17" s="45"/>
      <c r="E17" s="48"/>
      <c r="F17" s="48"/>
      <c r="G17" s="22"/>
      <c r="H17" s="22"/>
      <c r="I17" s="22"/>
      <c r="J17" s="22"/>
    </row>
    <row r="18">
      <c r="A18" s="52"/>
      <c r="B18" s="45"/>
      <c r="C18" s="45"/>
      <c r="D18" s="45"/>
      <c r="E18" s="48"/>
      <c r="F18" s="48"/>
      <c r="G18" s="22"/>
      <c r="H18" s="22"/>
      <c r="I18" s="22"/>
      <c r="J18" s="22"/>
    </row>
    <row r="19">
      <c r="A19" s="52"/>
      <c r="B19" s="44">
        <f>SUM(B8:B18)</f>
        <v>12491800</v>
      </c>
      <c r="C19" s="45"/>
      <c r="D19" s="45"/>
      <c r="E19" s="44">
        <f>SUM(E8:E18)</f>
        <v>3267000</v>
      </c>
      <c r="F19" s="53">
        <f>B19-E19</f>
        <v>9224800</v>
      </c>
      <c r="G19" s="22"/>
      <c r="H19" s="22"/>
      <c r="I19" s="22"/>
      <c r="J19" s="22"/>
    </row>
  </sheetData>
  <mergeCells count="1">
    <mergeCell ref="A1:D1"/>
  </mergeCells>
  <drawing r:id="rId1"/>
</worksheet>
</file>