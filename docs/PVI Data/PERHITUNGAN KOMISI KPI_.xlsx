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sat valas indo " sheetId="1" r:id="rId5"/>
    <sheet state="visible" name="MATRIK BONUS KPI " sheetId="2" r:id="rId6"/>
    <sheet state="visible" name="PUSAT TUKAR UANG" sheetId="3" r:id="rId7"/>
    <sheet state="visible" name="MATRIK BONUS  pusat tukar uang" sheetId="4" r:id="rId8"/>
    <sheet state="visible" name="PUSAT KIRIM DUIT " sheetId="5" r:id="rId9"/>
    <sheet state="visible" name="MATRIX PUSAT KIRIM DUIT" sheetId="6" r:id="rId10"/>
  </sheets>
  <definedNames/>
  <calcPr/>
</workbook>
</file>

<file path=xl/sharedStrings.xml><?xml version="1.0" encoding="utf-8"?>
<sst xmlns="http://schemas.openxmlformats.org/spreadsheetml/2006/main" count="360" uniqueCount="113">
  <si>
    <t>Division</t>
  </si>
  <si>
    <t>Objective</t>
  </si>
  <si>
    <t>week 1</t>
  </si>
  <si>
    <t>week 2</t>
  </si>
  <si>
    <t>week 3</t>
  </si>
  <si>
    <t>week 4</t>
  </si>
  <si>
    <t>Actual</t>
  </si>
  <si>
    <t>% Ach</t>
  </si>
  <si>
    <t>% Weight</t>
  </si>
  <si>
    <t>% Score</t>
  </si>
  <si>
    <t>SALES/MARKETING</t>
  </si>
  <si>
    <t>Jumlah Omzet</t>
  </si>
  <si>
    <t>Sales</t>
  </si>
  <si>
    <t>Tingkat complain tracking</t>
  </si>
  <si>
    <t xml:space="preserve">3 point minus  setiap ada komplain </t>
  </si>
  <si>
    <t>Tingkat Kesesuaian SOP</t>
  </si>
  <si>
    <t xml:space="preserve">2 point setiap kesalahan </t>
  </si>
  <si>
    <t>Laporan &amp; Hasil Rekonsiliasi Tepat Waktu</t>
  </si>
  <si>
    <t>LEWAT DARI JAM 17.30 MINUS 2 POINT</t>
  </si>
  <si>
    <t>Laporan Compliance Tepat Waktu(ltktltkm</t>
  </si>
  <si>
    <t>4 POINT SETIAP KESALAHAN</t>
  </si>
  <si>
    <t xml:space="preserve">Meningkatkan pelayanan kepada nasabah dan menaikan omzet </t>
  </si>
  <si>
    <t xml:space="preserve">Tingkat kepuasan nasabah </t>
  </si>
  <si>
    <t>1 point setiap survey(100 survey per bulan)</t>
  </si>
  <si>
    <t>Key Results</t>
  </si>
  <si>
    <t>PIC</t>
  </si>
  <si>
    <t>Target</t>
  </si>
  <si>
    <t>Teller Luar</t>
  </si>
  <si>
    <t>Meningkatkan Pelayanan Kepada Customer Dan Memastikan Ketelitian Dalam Perhitungan</t>
  </si>
  <si>
    <t>Tingkat Ketelitian Perhitungan</t>
  </si>
  <si>
    <t xml:space="preserve">-3 point setiap kali ada kesalahan </t>
  </si>
  <si>
    <t>Tingkat Kepuasan Pelanggan</t>
  </si>
  <si>
    <t xml:space="preserve">1 google review +2 point target 50 point google review  ulasan bagus
</t>
  </si>
  <si>
    <t>Tingkat Kebersihan</t>
  </si>
  <si>
    <t xml:space="preserve">nilai minus -5 point setiap tempat yang tidak bagus </t>
  </si>
  <si>
    <t>Teller Dalam</t>
  </si>
  <si>
    <t>Memastikan Closing Laporan Tepat Waktu</t>
  </si>
  <si>
    <t>Closing Tepat Waktu</t>
  </si>
  <si>
    <t>teller dalam</t>
  </si>
  <si>
    <t>1 HARI ADALAH 4 POINT BATAS MAKSIMAL 1 JAM SETELAH 05.15</t>
  </si>
  <si>
    <t xml:space="preserve">Apakah semua in dan semua out sudah di lakukan check list </t>
  </si>
  <si>
    <t>Tingkat Kesesuaian Jumlah Kas</t>
  </si>
  <si>
    <t xml:space="preserve">maksimal 100 rb per hari bila ada di atas itu maka akan di kenakan -4 point </t>
  </si>
  <si>
    <t>Kurir</t>
  </si>
  <si>
    <t>Memastikan Pengiriman On Time &amp; Customer Happy</t>
  </si>
  <si>
    <t>Tingkat Ketepatan Waktu &amp;Jumlah  Pengiriman</t>
  </si>
  <si>
    <t>kurir</t>
  </si>
  <si>
    <t>Laporan serah terima barang dikirimkan tepat waktu</t>
  </si>
  <si>
    <t>setiap kesalahan akan -4 point</t>
  </si>
  <si>
    <t>setiap keasalahan akan -4 point</t>
  </si>
  <si>
    <t>TEAM LEADER MARKETING</t>
  </si>
  <si>
    <t>Memastikan resiko likuiditas minimal dan stok mata uang terjaga</t>
  </si>
  <si>
    <t>Net Profit Margin</t>
  </si>
  <si>
    <t>leader marketing</t>
  </si>
  <si>
    <t>Tingkat Ketersediaan Stok Mata Uang</t>
  </si>
  <si>
    <t>SETIAP KALI CUST DATENG STOK TIDAK ADA -5%</t>
  </si>
  <si>
    <t>COMPLAIN NASABAH</t>
  </si>
  <si>
    <t>SETIAP KALI CUST COMPLAIN -5%</t>
  </si>
  <si>
    <t xml:space="preserve">kurs updating </t>
  </si>
  <si>
    <t>-5% setiap kali telat update</t>
  </si>
  <si>
    <t xml:space="preserve">TEAM MANAGEMENT </t>
  </si>
  <si>
    <t>10 BRIEFING</t>
  </si>
  <si>
    <t xml:space="preserve">Team leader pvi </t>
  </si>
  <si>
    <t>Jumlah omzet team</t>
  </si>
  <si>
    <t>team leader</t>
  </si>
  <si>
    <t>KEPATUHAN REGULASI SOP (pengawasan operasional</t>
  </si>
  <si>
    <t>setiap temuan akan di angap + 5%</t>
  </si>
  <si>
    <t>RESIKO LIKUIDITAS</t>
  </si>
  <si>
    <t>EFISIENSI PELAPORAN dan monitoring KURS</t>
  </si>
  <si>
    <t xml:space="preserve">10 BRIEFING </t>
  </si>
  <si>
    <t xml:space="preserve">MATRIX BONUS  Pusat Valas indo </t>
  </si>
  <si>
    <t>sales and compliance</t>
  </si>
  <si>
    <t>80%-100%</t>
  </si>
  <si>
    <t>per orang</t>
  </si>
  <si>
    <t xml:space="preserve">top number 1 </t>
  </si>
  <si>
    <t>70%-79%</t>
  </si>
  <si>
    <t>safe sone</t>
  </si>
  <si>
    <t>10%-60%</t>
  </si>
  <si>
    <t>setiap sabtu wajib masuk</t>
  </si>
  <si>
    <t>teller luar</t>
  </si>
  <si>
    <t xml:space="preserve">terbaik </t>
  </si>
  <si>
    <t>500rb perorang</t>
  </si>
  <si>
    <t>60%-79%</t>
  </si>
  <si>
    <t>Safe zone</t>
  </si>
  <si>
    <t xml:space="preserve">pemotongan 150 rb </t>
  </si>
  <si>
    <t xml:space="preserve">pemotongan 300 rb </t>
  </si>
  <si>
    <t xml:space="preserve">kurir </t>
  </si>
  <si>
    <t>di atas 120%</t>
  </si>
  <si>
    <t>101%-120%</t>
  </si>
  <si>
    <t xml:space="preserve">kepala cabang </t>
  </si>
  <si>
    <t>safe zone</t>
  </si>
  <si>
    <t>10%-59%</t>
  </si>
  <si>
    <t>100%-120%</t>
  </si>
  <si>
    <t>kepala marketing</t>
  </si>
  <si>
    <t>80%-99%</t>
  </si>
  <si>
    <t xml:space="preserve">pemotongan 200 rb </t>
  </si>
  <si>
    <t>Note :</t>
  </si>
  <si>
    <t xml:space="preserve">yang masi belom di kontrak belom bisa mendapatkan bonus tambahan </t>
  </si>
  <si>
    <t>1 HARI ADALAH 4 POINT BATAS MAKSIMAL 1 JAM SETELAH 05.00</t>
  </si>
  <si>
    <t>Score OKR Tim Kurir</t>
  </si>
  <si>
    <t>Tingkat Resiko Likuiditas</t>
  </si>
  <si>
    <t xml:space="preserve">COMPLAIN NASABAH </t>
  </si>
  <si>
    <t>EFISIENSI PELAPORAN dan monitoring</t>
  </si>
  <si>
    <t xml:space="preserve">MATRIX BONUS  PUSATTUKAR UANG </t>
  </si>
  <si>
    <t>SALES/MARKETING(nadine dan vinny)</t>
  </si>
  <si>
    <t>Team leader PKD</t>
  </si>
  <si>
    <t xml:space="preserve">MATRIX BONUS PUSAT KIRIM DUIT </t>
  </si>
  <si>
    <t>top number 1 SALES</t>
  </si>
  <si>
    <t>70%-80%</t>
  </si>
  <si>
    <t>Save zone</t>
  </si>
  <si>
    <t>save zone</t>
  </si>
  <si>
    <t>10%-69%</t>
  </si>
  <si>
    <t xml:space="preserve">pemotongan 500 rb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</si>
</sst>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ptos Narrow"/>
    </font>
    <font>
      <color theme="1"/>
      <name val="Arial"/>
    </font>
    <font>
      <b/>
      <sz val="14.0"/>
      <color theme="1"/>
      <name val="Arial"/>
    </font>
    <font>
      <sz val="12.0"/>
      <color theme="1"/>
      <name val="Aptos Narrow"/>
    </font>
    <font>
      <sz val="12.0"/>
      <color theme="1"/>
      <name val="Arial"/>
    </font>
    <font/>
    <font>
      <sz val="16.0"/>
      <color theme="1"/>
      <name val="Arial"/>
    </font>
    <font>
      <b/>
      <sz val="16.0"/>
      <color theme="1"/>
      <name val="Aptos Narrow"/>
    </font>
    <font>
      <b/>
      <sz val="16.0"/>
      <color theme="1"/>
      <name val="Arial"/>
    </font>
    <font>
      <sz val="17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83E28E"/>
        <bgColor rgb="FF83E28E"/>
      </patternFill>
    </fill>
    <fill>
      <patternFill patternType="solid">
        <fgColor rgb="FFADADAD"/>
        <bgColor rgb="FFADADAD"/>
      </patternFill>
    </fill>
    <fill>
      <patternFill patternType="solid">
        <fgColor rgb="FFB7B7B7"/>
        <bgColor rgb="FFB7B7B7"/>
      </patternFill>
    </fill>
    <fill>
      <patternFill patternType="solid">
        <fgColor rgb="FFDAE9F8"/>
        <bgColor rgb="FFDAE9F8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2" fontId="3" numFmtId="0" xfId="0" applyAlignment="1" applyBorder="1" applyFill="1" applyFont="1">
      <alignment horizontal="center" shrinkToFit="0" vertical="bottom" wrapText="1"/>
    </xf>
    <xf borderId="4" fillId="2" fontId="2" numFmtId="0" xfId="0" applyAlignment="1" applyBorder="1" applyFont="1">
      <alignment vertical="bottom"/>
    </xf>
    <xf borderId="2" fillId="2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vertical="bottom"/>
    </xf>
    <xf borderId="2" fillId="2" fontId="5" numFmtId="3" xfId="0" applyAlignment="1" applyBorder="1" applyFont="1" applyNumberFormat="1">
      <alignment horizontal="right" vertical="bottom"/>
    </xf>
    <xf borderId="2" fillId="2" fontId="2" numFmtId="3" xfId="0" applyAlignment="1" applyBorder="1" applyFont="1" applyNumberFormat="1">
      <alignment vertical="bottom"/>
    </xf>
    <xf borderId="2" fillId="2" fontId="2" numFmtId="3" xfId="0" applyAlignment="1" applyBorder="1" applyFont="1" applyNumberFormat="1">
      <alignment horizontal="right" vertical="bottom"/>
    </xf>
    <xf borderId="2" fillId="2" fontId="4" numFmtId="9" xfId="0" applyAlignment="1" applyBorder="1" applyFont="1" applyNumberFormat="1">
      <alignment horizontal="right" vertical="bottom"/>
    </xf>
    <xf borderId="2" fillId="2" fontId="5" numFmtId="9" xfId="0" applyAlignment="1" applyBorder="1" applyFont="1" applyNumberFormat="1">
      <alignment horizontal="right" vertical="bottom"/>
    </xf>
    <xf borderId="2" fillId="2" fontId="2" numFmtId="0" xfId="0" applyAlignment="1" applyBorder="1" applyFont="1">
      <alignment vertical="bottom"/>
    </xf>
    <xf borderId="3" fillId="0" fontId="6" numFmtId="0" xfId="0" applyBorder="1" applyFont="1"/>
    <xf borderId="3" fillId="2" fontId="2" numFmtId="0" xfId="0" applyAlignment="1" applyBorder="1" applyFont="1">
      <alignment vertical="bottom"/>
    </xf>
    <xf borderId="2" fillId="2" fontId="5" numFmtId="0" xfId="0" applyAlignment="1" applyBorder="1" applyFont="1">
      <alignment shrinkToFit="0" vertical="bottom" wrapText="1"/>
    </xf>
    <xf borderId="2" fillId="2" fontId="2" numFmtId="9" xfId="0" applyAlignment="1" applyBorder="1" applyFont="1" applyNumberFormat="1">
      <alignment vertical="bottom"/>
    </xf>
    <xf borderId="2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center" shrinkToFit="0" vertical="bottom" wrapText="1"/>
    </xf>
    <xf borderId="2" fillId="2" fontId="7" numFmtId="9" xfId="0" applyAlignment="1" applyBorder="1" applyFont="1" applyNumberFormat="1">
      <alignment horizontal="right" vertical="bottom"/>
    </xf>
    <xf borderId="2" fillId="2" fontId="8" numFmtId="9" xfId="0" applyAlignment="1" applyBorder="1" applyFont="1" applyNumberFormat="1">
      <alignment horizontal="right" vertical="bottom"/>
    </xf>
    <xf borderId="4" fillId="0" fontId="6" numFmtId="0" xfId="0" applyBorder="1" applyFont="1"/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3" fillId="3" fontId="4" numFmtId="0" xfId="0" applyAlignment="1" applyBorder="1" applyFont="1">
      <alignment horizontal="center" shrinkToFit="0" vertical="bottom" wrapText="1"/>
    </xf>
    <xf borderId="2" fillId="3" fontId="4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vertical="bottom"/>
    </xf>
    <xf borderId="2" fillId="4" fontId="5" numFmtId="4" xfId="0" applyAlignment="1" applyBorder="1" applyFill="1" applyFont="1" applyNumberFormat="1">
      <alignment horizontal="right" vertical="bottom"/>
    </xf>
    <xf borderId="2" fillId="4" fontId="2" numFmtId="9" xfId="0" applyAlignment="1" applyBorder="1" applyFont="1" applyNumberFormat="1">
      <alignment vertical="bottom"/>
    </xf>
    <xf borderId="2" fillId="4" fontId="2" numFmtId="0" xfId="0" applyAlignment="1" applyBorder="1" applyFont="1">
      <alignment vertical="bottom"/>
    </xf>
    <xf borderId="2" fillId="4" fontId="4" numFmtId="9" xfId="0" applyAlignment="1" applyBorder="1" applyFont="1" applyNumberFormat="1">
      <alignment horizontal="right" vertical="bottom"/>
    </xf>
    <xf borderId="2" fillId="4" fontId="5" numFmtId="9" xfId="0" applyAlignment="1" applyBorder="1" applyFont="1" applyNumberFormat="1">
      <alignment horizontal="right" vertical="bottom"/>
    </xf>
    <xf borderId="2" fillId="3" fontId="2" numFmtId="0" xfId="0" applyAlignment="1" applyBorder="1" applyFont="1">
      <alignment vertical="bottom"/>
    </xf>
    <xf borderId="2" fillId="4" fontId="2" numFmtId="4" xfId="0" applyAlignment="1" applyBorder="1" applyFont="1" applyNumberFormat="1">
      <alignment vertical="bottom"/>
    </xf>
    <xf borderId="2" fillId="4" fontId="2" numFmtId="0" xfId="0" applyAlignment="1" applyBorder="1" applyFont="1">
      <alignment shrinkToFit="0" vertical="bottom" wrapText="1"/>
    </xf>
    <xf borderId="2" fillId="4" fontId="4" numFmtId="0" xfId="0" applyAlignment="1" applyBorder="1" applyFont="1">
      <alignment vertical="bottom"/>
    </xf>
    <xf borderId="2" fillId="3" fontId="2" numFmtId="4" xfId="0" applyAlignment="1" applyBorder="1" applyFont="1" applyNumberFormat="1">
      <alignment vertical="bottom"/>
    </xf>
    <xf borderId="2" fillId="3" fontId="8" numFmtId="9" xfId="0" applyAlignment="1" applyBorder="1" applyFont="1" applyNumberFormat="1">
      <alignment horizontal="right" vertical="bottom"/>
    </xf>
    <xf borderId="2" fillId="3" fontId="8" numFmtId="9" xfId="0" applyAlignment="1" applyBorder="1" applyFont="1" applyNumberFormat="1">
      <alignment horizontal="center" vertical="bottom"/>
    </xf>
    <xf borderId="3" fillId="5" fontId="4" numFmtId="0" xfId="0" applyAlignment="1" applyBorder="1" applyFill="1" applyFont="1">
      <alignment horizontal="center" vertical="bottom"/>
    </xf>
    <xf borderId="3" fillId="5" fontId="4" numFmtId="0" xfId="0" applyAlignment="1" applyBorder="1" applyFont="1">
      <alignment horizontal="center" shrinkToFit="0" vertical="bottom" wrapText="1"/>
    </xf>
    <xf borderId="2" fillId="5" fontId="4" numFmtId="0" xfId="0" applyAlignment="1" applyBorder="1" applyFont="1">
      <alignment shrinkToFit="0" vertical="bottom" wrapText="1"/>
    </xf>
    <xf borderId="2" fillId="5" fontId="5" numFmtId="0" xfId="0" applyAlignment="1" applyBorder="1" applyFont="1">
      <alignment vertical="bottom"/>
    </xf>
    <xf borderId="2" fillId="5" fontId="5" numFmtId="9" xfId="0" applyAlignment="1" applyBorder="1" applyFont="1" applyNumberFormat="1">
      <alignment horizontal="right" vertical="bottom"/>
    </xf>
    <xf borderId="2" fillId="5" fontId="2" numFmtId="9" xfId="0" applyAlignment="1" applyBorder="1" applyFont="1" applyNumberFormat="1">
      <alignment vertical="bottom"/>
    </xf>
    <xf borderId="2" fillId="5" fontId="4" numFmtId="9" xfId="0" applyAlignment="1" applyBorder="1" applyFont="1" applyNumberFormat="1">
      <alignment horizontal="right" vertical="bottom"/>
    </xf>
    <xf borderId="2" fillId="5" fontId="5" numFmtId="0" xfId="0" applyAlignment="1" applyBorder="1" applyFont="1">
      <alignment shrinkToFit="0" vertical="bottom" wrapText="1"/>
    </xf>
    <xf borderId="2" fillId="5" fontId="2" numFmtId="0" xfId="0" applyAlignment="1" applyBorder="1" applyFont="1">
      <alignment vertical="bottom"/>
    </xf>
    <xf borderId="2" fillId="5" fontId="9" numFmtId="9" xfId="0" applyAlignment="1" applyBorder="1" applyFont="1" applyNumberFormat="1">
      <alignment horizontal="right" vertical="bottom"/>
    </xf>
    <xf borderId="2" fillId="5" fontId="8" numFmtId="9" xfId="0" applyAlignment="1" applyBorder="1" applyFont="1" applyNumberFormat="1">
      <alignment horizontal="center" vertical="bottom"/>
    </xf>
    <xf borderId="3" fillId="6" fontId="4" numFmtId="0" xfId="0" applyAlignment="1" applyBorder="1" applyFill="1" applyFont="1">
      <alignment horizontal="center" vertical="bottom"/>
    </xf>
    <xf borderId="3" fillId="6" fontId="4" numFmtId="0" xfId="0" applyAlignment="1" applyBorder="1" applyFont="1">
      <alignment horizontal="center" shrinkToFit="0" vertical="bottom" wrapText="1"/>
    </xf>
    <xf borderId="2" fillId="6" fontId="5" numFmtId="0" xfId="0" applyAlignment="1" applyBorder="1" applyFont="1">
      <alignment shrinkToFit="0" vertical="bottom" wrapText="1"/>
    </xf>
    <xf borderId="2" fillId="6" fontId="5" numFmtId="0" xfId="0" applyAlignment="1" applyBorder="1" applyFont="1">
      <alignment vertical="bottom"/>
    </xf>
    <xf borderId="2" fillId="6" fontId="5" numFmtId="3" xfId="0" applyAlignment="1" applyBorder="1" applyFont="1" applyNumberFormat="1">
      <alignment horizontal="right" vertical="bottom"/>
    </xf>
    <xf borderId="2" fillId="6" fontId="2" numFmtId="9" xfId="0" applyAlignment="1" applyBorder="1" applyFont="1" applyNumberFormat="1">
      <alignment vertical="bottom"/>
    </xf>
    <xf borderId="2" fillId="6" fontId="2" numFmtId="0" xfId="0" applyAlignment="1" applyBorder="1" applyFont="1">
      <alignment vertical="bottom"/>
    </xf>
    <xf borderId="2" fillId="6" fontId="4" numFmtId="9" xfId="0" applyAlignment="1" applyBorder="1" applyFont="1" applyNumberFormat="1">
      <alignment horizontal="right" vertical="bottom"/>
    </xf>
    <xf borderId="2" fillId="6" fontId="5" numFmtId="9" xfId="0" applyAlignment="1" applyBorder="1" applyFont="1" applyNumberFormat="1">
      <alignment horizontal="right" vertical="bottom"/>
    </xf>
    <xf borderId="2" fillId="6" fontId="4" numFmtId="0" xfId="0" applyAlignment="1" applyBorder="1" applyFont="1">
      <alignment shrinkToFit="0" vertical="bottom" wrapText="1"/>
    </xf>
    <xf borderId="0" fillId="6" fontId="2" numFmtId="0" xfId="0" applyAlignment="1" applyFont="1">
      <alignment vertical="bottom"/>
    </xf>
    <xf borderId="2" fillId="6" fontId="8" numFmtId="9" xfId="0" applyAlignment="1" applyBorder="1" applyFont="1" applyNumberFormat="1">
      <alignment horizontal="right" vertical="bottom"/>
    </xf>
    <xf borderId="2" fillId="6" fontId="8" numFmtId="9" xfId="0" applyAlignment="1" applyBorder="1" applyFont="1" applyNumberFormat="1">
      <alignment horizontal="center" vertical="bottom"/>
    </xf>
    <xf borderId="3" fillId="7" fontId="5" numFmtId="0" xfId="0" applyAlignment="1" applyBorder="1" applyFill="1" applyFont="1">
      <alignment horizontal="center" shrinkToFit="0" vertical="bottom" wrapText="1"/>
    </xf>
    <xf borderId="3" fillId="7" fontId="4" numFmtId="0" xfId="0" applyAlignment="1" applyBorder="1" applyFont="1">
      <alignment horizontal="center" shrinkToFit="0" vertical="bottom" wrapText="1"/>
    </xf>
    <xf borderId="2" fillId="7" fontId="4" numFmtId="0" xfId="0" applyAlignment="1" applyBorder="1" applyFont="1">
      <alignment shrinkToFit="0" vertical="bottom" wrapText="1"/>
    </xf>
    <xf borderId="2" fillId="7" fontId="5" numFmtId="0" xfId="0" applyAlignment="1" applyBorder="1" applyFont="1">
      <alignment vertical="bottom"/>
    </xf>
    <xf borderId="2" fillId="7" fontId="5" numFmtId="4" xfId="0" applyAlignment="1" applyBorder="1" applyFont="1" applyNumberFormat="1">
      <alignment horizontal="right" vertical="bottom"/>
    </xf>
    <xf borderId="2" fillId="7" fontId="2" numFmtId="9" xfId="0" applyAlignment="1" applyBorder="1" applyFont="1" applyNumberFormat="1">
      <alignment vertical="bottom"/>
    </xf>
    <xf borderId="2" fillId="7" fontId="2" numFmtId="0" xfId="0" applyAlignment="1" applyBorder="1" applyFont="1">
      <alignment vertical="bottom"/>
    </xf>
    <xf borderId="2" fillId="8" fontId="5" numFmtId="9" xfId="0" applyAlignment="1" applyBorder="1" applyFill="1" applyFont="1" applyNumberFormat="1">
      <alignment horizontal="right" vertical="bottom"/>
    </xf>
    <xf borderId="2" fillId="7" fontId="5" numFmtId="9" xfId="0" applyAlignment="1" applyBorder="1" applyFont="1" applyNumberFormat="1">
      <alignment horizontal="right" vertical="bottom"/>
    </xf>
    <xf borderId="2" fillId="7" fontId="4" numFmtId="0" xfId="0" applyAlignment="1" applyBorder="1" applyFont="1">
      <alignment horizontal="center" vertical="bottom"/>
    </xf>
    <xf borderId="2" fillId="8" fontId="4" numFmtId="9" xfId="0" applyAlignment="1" applyBorder="1" applyFont="1" applyNumberFormat="1">
      <alignment horizontal="right" vertical="bottom"/>
    </xf>
    <xf borderId="2" fillId="7" fontId="5" numFmtId="0" xfId="0" applyAlignment="1" applyBorder="1" applyFont="1">
      <alignment shrinkToFit="0" vertical="bottom" wrapText="1"/>
    </xf>
    <xf borderId="2" fillId="7" fontId="4" numFmtId="9" xfId="0" applyAlignment="1" applyBorder="1" applyFont="1" applyNumberFormat="1">
      <alignment horizontal="right" vertical="bottom"/>
    </xf>
    <xf borderId="2" fillId="7" fontId="8" numFmtId="9" xfId="0" applyAlignment="1" applyBorder="1" applyFont="1" applyNumberFormat="1">
      <alignment horizontal="right" vertical="bottom"/>
    </xf>
    <xf borderId="2" fillId="7" fontId="8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9" fontId="5" numFmtId="0" xfId="0" applyAlignment="1" applyBorder="1" applyFill="1" applyFont="1">
      <alignment horizontal="center" vertical="bottom"/>
    </xf>
    <xf borderId="3" fillId="9" fontId="4" numFmtId="0" xfId="0" applyAlignment="1" applyBorder="1" applyFont="1">
      <alignment horizontal="center" shrinkToFit="0" vertical="bottom" wrapText="1"/>
    </xf>
    <xf borderId="2" fillId="9" fontId="5" numFmtId="0" xfId="0" applyAlignment="1" applyBorder="1" applyFont="1">
      <alignment shrinkToFit="0" vertical="bottom" wrapText="1"/>
    </xf>
    <xf borderId="2" fillId="9" fontId="5" numFmtId="4" xfId="0" applyAlignment="1" applyBorder="1" applyFont="1" applyNumberFormat="1">
      <alignment vertical="bottom"/>
    </xf>
    <xf borderId="2" fillId="9" fontId="5" numFmtId="4" xfId="0" applyAlignment="1" applyBorder="1" applyFont="1" applyNumberFormat="1">
      <alignment horizontal="right" vertical="bottom"/>
    </xf>
    <xf borderId="2" fillId="9" fontId="2" numFmtId="9" xfId="0" applyAlignment="1" applyBorder="1" applyFont="1" applyNumberFormat="1">
      <alignment vertical="bottom"/>
    </xf>
    <xf borderId="2" fillId="9" fontId="2" numFmtId="0" xfId="0" applyAlignment="1" applyBorder="1" applyFont="1">
      <alignment vertical="bottom"/>
    </xf>
    <xf borderId="2" fillId="9" fontId="4" numFmtId="9" xfId="0" applyAlignment="1" applyBorder="1" applyFont="1" applyNumberFormat="1">
      <alignment horizontal="right" vertical="bottom"/>
    </xf>
    <xf borderId="2" fillId="9" fontId="4" numFmtId="0" xfId="0" applyAlignment="1" applyBorder="1" applyFont="1">
      <alignment horizontal="center" vertical="bottom"/>
    </xf>
    <xf borderId="2" fillId="9" fontId="5" numFmtId="0" xfId="0" applyAlignment="1" applyBorder="1" applyFont="1">
      <alignment vertical="bottom"/>
    </xf>
    <xf borderId="2" fillId="9" fontId="5" numFmtId="9" xfId="0" applyAlignment="1" applyBorder="1" applyFont="1" applyNumberFormat="1">
      <alignment horizontal="right" vertical="bottom"/>
    </xf>
    <xf borderId="2" fillId="9" fontId="8" numFmtId="9" xfId="0" applyAlignment="1" applyBorder="1" applyFont="1" applyNumberFormat="1">
      <alignment horizontal="right" vertical="bottom"/>
    </xf>
    <xf borderId="2" fillId="9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vertical="bottom"/>
    </xf>
    <xf borderId="2" fillId="0" fontId="2" numFmtId="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horizontal="right" vertical="bottom"/>
    </xf>
    <xf borderId="5" fillId="0" fontId="2" numFmtId="4" xfId="0" applyAlignment="1" applyBorder="1" applyFont="1" applyNumberFormat="1">
      <alignment horizontal="center" vertical="bottom"/>
    </xf>
    <xf borderId="6" fillId="0" fontId="6" numFmtId="0" xfId="0" applyBorder="1" applyFont="1"/>
    <xf borderId="7" fillId="0" fontId="6" numFmtId="0" xfId="0" applyBorder="1" applyFont="1"/>
    <xf borderId="5" fillId="0" fontId="2" numFmtId="0" xfId="0" applyAlignment="1" applyBorder="1" applyFont="1">
      <alignment vertical="bottom"/>
    </xf>
    <xf borderId="6" fillId="0" fontId="2" numFmtId="4" xfId="0" applyAlignment="1" applyBorder="1" applyFont="1" applyNumberFormat="1">
      <alignment vertical="bottom"/>
    </xf>
    <xf borderId="7" fillId="0" fontId="2" numFmtId="4" xfId="0" applyAlignment="1" applyBorder="1" applyFont="1" applyNumberFormat="1">
      <alignment vertical="bottom"/>
    </xf>
    <xf borderId="2" fillId="0" fontId="2" numFmtId="4" xfId="0" applyAlignment="1" applyBorder="1" applyFont="1" applyNumberFormat="1">
      <alignment vertical="bottom"/>
    </xf>
    <xf borderId="2" fillId="0" fontId="2" numFmtId="4" xfId="0" applyAlignment="1" applyBorder="1" applyFont="1" applyNumberFormat="1">
      <alignment horizontal="center" vertical="bottom"/>
    </xf>
    <xf borderId="2" fillId="9" fontId="5" numFmtId="3" xfId="0" applyAlignment="1" applyBorder="1" applyFont="1" applyNumberFormat="1">
      <alignment horizontal="right" vertical="bottom"/>
    </xf>
    <xf borderId="0" fillId="0" fontId="10" numFmtId="0" xfId="0" applyAlignment="1" applyFont="1">
      <alignment horizontal="center" vertical="bottom"/>
    </xf>
    <xf borderId="5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9" max="9" width="17.88"/>
    <col customWidth="1" min="14" max="14" width="46.13"/>
  </cols>
  <sheetData>
    <row r="1">
      <c r="A1" s="1" t="s">
        <v>0</v>
      </c>
      <c r="B1" s="2" t="s">
        <v>1</v>
      </c>
      <c r="C1" s="3"/>
      <c r="D1" s="3"/>
      <c r="E1" s="3"/>
      <c r="F1" s="4" t="s">
        <v>2</v>
      </c>
      <c r="G1" s="4" t="s">
        <v>3</v>
      </c>
      <c r="H1" s="4" t="s">
        <v>4</v>
      </c>
      <c r="I1" s="4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3"/>
    </row>
    <row r="2">
      <c r="A2" s="6" t="s">
        <v>10</v>
      </c>
      <c r="B2" s="7"/>
      <c r="C2" s="8" t="s">
        <v>11</v>
      </c>
      <c r="D2" s="9" t="s">
        <v>12</v>
      </c>
      <c r="E2" s="10">
        <v>7.0E8</v>
      </c>
      <c r="F2" s="11"/>
      <c r="G2" s="11"/>
      <c r="H2" s="11"/>
      <c r="I2" s="11"/>
      <c r="J2" s="12">
        <f>F2+G2+H2+I2</f>
        <v>0</v>
      </c>
      <c r="K2" s="13">
        <f t="shared" ref="K2:K7" si="1">J2/E2*100%</f>
        <v>0</v>
      </c>
      <c r="L2" s="14">
        <v>0.3</v>
      </c>
      <c r="M2" s="13">
        <f t="shared" ref="M2:M7" si="2">L2*K2</f>
        <v>0</v>
      </c>
      <c r="N2" s="15"/>
    </row>
    <row r="3">
      <c r="A3" s="16"/>
      <c r="B3" s="17"/>
      <c r="C3" s="18" t="s">
        <v>13</v>
      </c>
      <c r="D3" s="9" t="s">
        <v>12</v>
      </c>
      <c r="E3" s="14">
        <v>1.0</v>
      </c>
      <c r="F3" s="19"/>
      <c r="G3" s="19"/>
      <c r="H3" s="19"/>
      <c r="I3" s="19"/>
      <c r="J3" s="14">
        <f t="shared" ref="J3:J7" si="3">E3-F3-G3-H3-I3</f>
        <v>1</v>
      </c>
      <c r="K3" s="13">
        <f t="shared" si="1"/>
        <v>1</v>
      </c>
      <c r="L3" s="14">
        <v>0.15</v>
      </c>
      <c r="M3" s="13">
        <f t="shared" si="2"/>
        <v>0.15</v>
      </c>
      <c r="N3" s="20" t="s">
        <v>14</v>
      </c>
    </row>
    <row r="4">
      <c r="A4" s="16"/>
      <c r="B4" s="17"/>
      <c r="C4" s="18" t="s">
        <v>15</v>
      </c>
      <c r="D4" s="9" t="s">
        <v>12</v>
      </c>
      <c r="E4" s="13">
        <v>1.0</v>
      </c>
      <c r="F4" s="19"/>
      <c r="G4" s="19"/>
      <c r="H4" s="19"/>
      <c r="I4" s="19"/>
      <c r="J4" s="14">
        <f t="shared" si="3"/>
        <v>1</v>
      </c>
      <c r="K4" s="13">
        <f t="shared" si="1"/>
        <v>1</v>
      </c>
      <c r="L4" s="14">
        <v>0.2</v>
      </c>
      <c r="M4" s="13">
        <f t="shared" si="2"/>
        <v>0.2</v>
      </c>
      <c r="N4" s="20" t="s">
        <v>16</v>
      </c>
    </row>
    <row r="5">
      <c r="A5" s="16"/>
      <c r="B5" s="17"/>
      <c r="C5" s="18" t="s">
        <v>17</v>
      </c>
      <c r="D5" s="9" t="s">
        <v>12</v>
      </c>
      <c r="E5" s="13">
        <v>1.0</v>
      </c>
      <c r="F5" s="19"/>
      <c r="G5" s="19"/>
      <c r="H5" s="19"/>
      <c r="I5" s="19"/>
      <c r="J5" s="14">
        <f t="shared" si="3"/>
        <v>1</v>
      </c>
      <c r="K5" s="13">
        <f t="shared" si="1"/>
        <v>1</v>
      </c>
      <c r="L5" s="14">
        <v>0.15</v>
      </c>
      <c r="M5" s="13">
        <f t="shared" si="2"/>
        <v>0.15</v>
      </c>
      <c r="N5" s="20" t="s">
        <v>18</v>
      </c>
    </row>
    <row r="6">
      <c r="A6" s="16"/>
      <c r="B6" s="17"/>
      <c r="C6" s="18" t="s">
        <v>19</v>
      </c>
      <c r="D6" s="9" t="s">
        <v>12</v>
      </c>
      <c r="E6" s="13">
        <v>1.0</v>
      </c>
      <c r="F6" s="19"/>
      <c r="G6" s="19"/>
      <c r="H6" s="19"/>
      <c r="I6" s="19"/>
      <c r="J6" s="14">
        <f t="shared" si="3"/>
        <v>1</v>
      </c>
      <c r="K6" s="13">
        <f t="shared" si="1"/>
        <v>1</v>
      </c>
      <c r="L6" s="14">
        <v>0.1</v>
      </c>
      <c r="M6" s="13">
        <f t="shared" si="2"/>
        <v>0.1</v>
      </c>
      <c r="N6" s="20" t="s">
        <v>20</v>
      </c>
    </row>
    <row r="7">
      <c r="A7" s="16"/>
      <c r="B7" s="21" t="s">
        <v>21</v>
      </c>
      <c r="C7" s="18" t="s">
        <v>22</v>
      </c>
      <c r="D7" s="9" t="s">
        <v>12</v>
      </c>
      <c r="E7" s="13">
        <v>1.0</v>
      </c>
      <c r="F7" s="19"/>
      <c r="G7" s="19"/>
      <c r="H7" s="19"/>
      <c r="I7" s="19"/>
      <c r="J7" s="14">
        <f t="shared" si="3"/>
        <v>1</v>
      </c>
      <c r="K7" s="13">
        <f t="shared" si="1"/>
        <v>1</v>
      </c>
      <c r="L7" s="22">
        <v>0.1</v>
      </c>
      <c r="M7" s="13">
        <f t="shared" si="2"/>
        <v>0.1</v>
      </c>
      <c r="N7" s="20" t="s">
        <v>23</v>
      </c>
    </row>
    <row r="8">
      <c r="A8" s="16"/>
      <c r="B8" s="17"/>
      <c r="C8" s="15"/>
      <c r="D8" s="15"/>
      <c r="E8" s="15"/>
      <c r="F8" s="15"/>
      <c r="G8" s="15"/>
      <c r="H8" s="15"/>
      <c r="I8" s="15"/>
      <c r="J8" s="15"/>
      <c r="K8" s="15"/>
      <c r="L8" s="22">
        <f t="shared" ref="L8:M8" si="4">sum(L2:L7)</f>
        <v>1</v>
      </c>
      <c r="M8" s="23">
        <f t="shared" si="4"/>
        <v>0.7</v>
      </c>
      <c r="N8" s="15"/>
    </row>
    <row r="9">
      <c r="A9" s="24"/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>
      <c r="A10" s="1" t="s">
        <v>0</v>
      </c>
      <c r="B10" s="2" t="s">
        <v>1</v>
      </c>
      <c r="C10" s="25" t="s">
        <v>24</v>
      </c>
      <c r="D10" s="26" t="s">
        <v>25</v>
      </c>
      <c r="E10" s="26" t="s">
        <v>26</v>
      </c>
      <c r="F10" s="4" t="s">
        <v>2</v>
      </c>
      <c r="G10" s="4" t="s">
        <v>3</v>
      </c>
      <c r="H10" s="4" t="s">
        <v>4</v>
      </c>
      <c r="I10" s="4" t="s">
        <v>5</v>
      </c>
      <c r="J10" s="5" t="s">
        <v>6</v>
      </c>
      <c r="K10" s="26" t="s">
        <v>7</v>
      </c>
      <c r="L10" s="26" t="s">
        <v>8</v>
      </c>
      <c r="M10" s="26" t="s">
        <v>9</v>
      </c>
      <c r="N10" s="3"/>
    </row>
    <row r="11">
      <c r="A11" s="27" t="s">
        <v>27</v>
      </c>
      <c r="B11" s="28" t="s">
        <v>28</v>
      </c>
      <c r="C11" s="29" t="s">
        <v>11</v>
      </c>
      <c r="D11" s="30" t="s">
        <v>27</v>
      </c>
      <c r="E11" s="31">
        <v>1.0E10</v>
      </c>
      <c r="F11" s="32"/>
      <c r="G11" s="32"/>
      <c r="H11" s="32"/>
      <c r="I11" s="32"/>
      <c r="J11" s="33"/>
      <c r="K11" s="34">
        <f t="shared" ref="K11:K15" si="5">J11/E11*100%</f>
        <v>0</v>
      </c>
      <c r="L11" s="35">
        <v>0.35</v>
      </c>
      <c r="M11" s="34">
        <f t="shared" ref="M11:M15" si="6">L11*K11</f>
        <v>0</v>
      </c>
      <c r="N11" s="36"/>
    </row>
    <row r="12">
      <c r="A12" s="16"/>
      <c r="B12" s="16"/>
      <c r="C12" s="29" t="s">
        <v>29</v>
      </c>
      <c r="D12" s="30" t="s">
        <v>27</v>
      </c>
      <c r="E12" s="34">
        <v>1.0</v>
      </c>
      <c r="F12" s="32"/>
      <c r="G12" s="32"/>
      <c r="H12" s="32"/>
      <c r="I12" s="32"/>
      <c r="J12" s="33"/>
      <c r="K12" s="34">
        <f t="shared" si="5"/>
        <v>0</v>
      </c>
      <c r="L12" s="35">
        <v>0.1</v>
      </c>
      <c r="M12" s="34">
        <f t="shared" si="6"/>
        <v>0</v>
      </c>
      <c r="N12" s="33" t="s">
        <v>30</v>
      </c>
    </row>
    <row r="13">
      <c r="A13" s="16"/>
      <c r="B13" s="16"/>
      <c r="C13" s="29" t="s">
        <v>15</v>
      </c>
      <c r="D13" s="30" t="s">
        <v>27</v>
      </c>
      <c r="E13" s="34">
        <v>1.0</v>
      </c>
      <c r="F13" s="32"/>
      <c r="G13" s="32"/>
      <c r="H13" s="32"/>
      <c r="I13" s="32"/>
      <c r="J13" s="33"/>
      <c r="K13" s="34">
        <f t="shared" si="5"/>
        <v>0</v>
      </c>
      <c r="L13" s="35">
        <v>0.15</v>
      </c>
      <c r="M13" s="34">
        <f t="shared" si="6"/>
        <v>0</v>
      </c>
      <c r="N13" s="33" t="s">
        <v>30</v>
      </c>
    </row>
    <row r="14">
      <c r="A14" s="16"/>
      <c r="B14" s="16"/>
      <c r="C14" s="29" t="s">
        <v>31</v>
      </c>
      <c r="D14" s="30" t="s">
        <v>27</v>
      </c>
      <c r="E14" s="34">
        <v>1.0</v>
      </c>
      <c r="F14" s="37"/>
      <c r="G14" s="37"/>
      <c r="H14" s="37"/>
      <c r="I14" s="37"/>
      <c r="J14" s="33"/>
      <c r="K14" s="34">
        <f t="shared" si="5"/>
        <v>0</v>
      </c>
      <c r="L14" s="35">
        <v>0.3</v>
      </c>
      <c r="M14" s="34">
        <f t="shared" si="6"/>
        <v>0</v>
      </c>
      <c r="N14" s="38" t="s">
        <v>32</v>
      </c>
    </row>
    <row r="15">
      <c r="A15" s="16"/>
      <c r="B15" s="16"/>
      <c r="C15" s="29" t="s">
        <v>33</v>
      </c>
      <c r="D15" s="30" t="s">
        <v>27</v>
      </c>
      <c r="E15" s="34">
        <v>1.0</v>
      </c>
      <c r="F15" s="32"/>
      <c r="G15" s="32"/>
      <c r="H15" s="32"/>
      <c r="I15" s="32"/>
      <c r="J15" s="33"/>
      <c r="K15" s="34">
        <f t="shared" si="5"/>
        <v>0</v>
      </c>
      <c r="L15" s="35">
        <v>0.1</v>
      </c>
      <c r="M15" s="34">
        <f t="shared" si="6"/>
        <v>0</v>
      </c>
      <c r="N15" s="39" t="s">
        <v>34</v>
      </c>
    </row>
    <row r="16">
      <c r="A16" s="16"/>
      <c r="B16" s="16"/>
      <c r="C16" s="36"/>
      <c r="D16" s="36"/>
      <c r="E16" s="32"/>
      <c r="F16" s="40"/>
      <c r="G16" s="40"/>
      <c r="H16" s="40"/>
      <c r="I16" s="40"/>
      <c r="J16" s="36"/>
      <c r="K16" s="36"/>
      <c r="L16" s="41">
        <v>1.0</v>
      </c>
      <c r="M16" s="42">
        <f>SUM(M11:M15)</f>
        <v>0</v>
      </c>
      <c r="N16" s="36"/>
    </row>
    <row r="17">
      <c r="A17" s="24"/>
      <c r="B17" s="24"/>
      <c r="C17" s="36"/>
      <c r="D17" s="36"/>
      <c r="E17" s="40"/>
      <c r="F17" s="40"/>
      <c r="G17" s="40"/>
      <c r="H17" s="40"/>
      <c r="I17" s="40"/>
      <c r="J17" s="36"/>
      <c r="K17" s="36"/>
      <c r="L17" s="36"/>
      <c r="M17" s="36"/>
      <c r="N17" s="36"/>
    </row>
    <row r="18">
      <c r="A18" s="3"/>
      <c r="B18" s="3"/>
      <c r="C18" s="3"/>
      <c r="D18" s="3"/>
      <c r="E18" s="3"/>
      <c r="F18" s="4" t="s">
        <v>2</v>
      </c>
      <c r="G18" s="4" t="s">
        <v>3</v>
      </c>
      <c r="H18" s="4" t="s">
        <v>4</v>
      </c>
      <c r="I18" s="4" t="s">
        <v>5</v>
      </c>
      <c r="J18" s="5" t="s">
        <v>6</v>
      </c>
      <c r="K18" s="3"/>
      <c r="L18" s="3"/>
      <c r="M18" s="3"/>
      <c r="N18" s="3"/>
    </row>
    <row r="19">
      <c r="A19" s="43" t="s">
        <v>35</v>
      </c>
      <c r="B19" s="44" t="s">
        <v>36</v>
      </c>
      <c r="C19" s="45" t="s">
        <v>37</v>
      </c>
      <c r="D19" s="46" t="s">
        <v>38</v>
      </c>
      <c r="E19" s="47">
        <v>1.0</v>
      </c>
      <c r="F19" s="48"/>
      <c r="G19" s="48"/>
      <c r="H19" s="48"/>
      <c r="I19" s="48"/>
      <c r="J19" s="48"/>
      <c r="K19" s="49">
        <f t="shared" ref="K19:K21" si="7">J19/E19*100%</f>
        <v>0</v>
      </c>
      <c r="L19" s="47">
        <v>0.45</v>
      </c>
      <c r="M19" s="49">
        <f t="shared" ref="M19:M21" si="8">L19*K19</f>
        <v>0</v>
      </c>
      <c r="N19" s="50" t="s">
        <v>39</v>
      </c>
    </row>
    <row r="20">
      <c r="A20" s="16"/>
      <c r="B20" s="16"/>
      <c r="C20" s="45" t="s">
        <v>15</v>
      </c>
      <c r="D20" s="46" t="s">
        <v>38</v>
      </c>
      <c r="E20" s="47">
        <v>1.0</v>
      </c>
      <c r="F20" s="48"/>
      <c r="G20" s="48"/>
      <c r="H20" s="48"/>
      <c r="I20" s="48"/>
      <c r="J20" s="51"/>
      <c r="K20" s="49">
        <f t="shared" si="7"/>
        <v>0</v>
      </c>
      <c r="L20" s="47">
        <v>0.2</v>
      </c>
      <c r="M20" s="49">
        <f t="shared" si="8"/>
        <v>0</v>
      </c>
      <c r="N20" s="50" t="s">
        <v>40</v>
      </c>
    </row>
    <row r="21">
      <c r="A21" s="16"/>
      <c r="B21" s="16"/>
      <c r="C21" s="45" t="s">
        <v>41</v>
      </c>
      <c r="D21" s="46" t="s">
        <v>38</v>
      </c>
      <c r="E21" s="47">
        <v>1.0</v>
      </c>
      <c r="F21" s="48"/>
      <c r="G21" s="48"/>
      <c r="H21" s="48"/>
      <c r="I21" s="48"/>
      <c r="J21" s="51"/>
      <c r="K21" s="49">
        <f t="shared" si="7"/>
        <v>0</v>
      </c>
      <c r="L21" s="47">
        <v>0.35</v>
      </c>
      <c r="M21" s="49">
        <f t="shared" si="8"/>
        <v>0</v>
      </c>
      <c r="N21" s="50" t="s">
        <v>42</v>
      </c>
    </row>
    <row r="22">
      <c r="A22" s="16"/>
      <c r="B22" s="16"/>
      <c r="C22" s="51"/>
      <c r="D22" s="51"/>
      <c r="E22" s="51"/>
      <c r="F22" s="51"/>
      <c r="G22" s="51"/>
      <c r="H22" s="51"/>
      <c r="I22" s="51"/>
      <c r="J22" s="51"/>
      <c r="K22" s="51"/>
      <c r="L22" s="48"/>
      <c r="M22" s="51"/>
      <c r="N22" s="51"/>
    </row>
    <row r="23">
      <c r="A23" s="16"/>
      <c r="B23" s="16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>
      <c r="A24" s="16"/>
      <c r="B24" s="16"/>
      <c r="C24" s="51"/>
      <c r="D24" s="51"/>
      <c r="E24" s="51"/>
      <c r="F24" s="51"/>
      <c r="G24" s="51"/>
      <c r="H24" s="51"/>
      <c r="I24" s="51"/>
      <c r="J24" s="51"/>
      <c r="K24" s="51"/>
      <c r="L24" s="52">
        <v>1.0</v>
      </c>
      <c r="M24" s="53">
        <f>SUM(M19:M21)</f>
        <v>0</v>
      </c>
      <c r="N24" s="51"/>
    </row>
    <row r="25">
      <c r="A25" s="16"/>
      <c r="B25" s="16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>
      <c r="A26" s="16"/>
      <c r="B26" s="16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>
      <c r="A27" s="16"/>
      <c r="B27" s="16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>
      <c r="A28" s="24"/>
      <c r="B28" s="24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>
      <c r="A29" s="3"/>
      <c r="B29" s="3"/>
      <c r="C29" s="3"/>
      <c r="D29" s="3"/>
      <c r="E29" s="3"/>
      <c r="F29" s="4" t="s">
        <v>2</v>
      </c>
      <c r="G29" s="4" t="s">
        <v>3</v>
      </c>
      <c r="H29" s="4" t="s">
        <v>4</v>
      </c>
      <c r="I29" s="4" t="s">
        <v>5</v>
      </c>
      <c r="J29" s="5" t="s">
        <v>6</v>
      </c>
      <c r="K29" s="3"/>
      <c r="L29" s="3"/>
      <c r="M29" s="3"/>
      <c r="N29" s="3"/>
    </row>
    <row r="30">
      <c r="A30" s="54" t="s">
        <v>43</v>
      </c>
      <c r="B30" s="55" t="s">
        <v>44</v>
      </c>
      <c r="C30" s="56" t="s">
        <v>45</v>
      </c>
      <c r="D30" s="57" t="s">
        <v>46</v>
      </c>
      <c r="E30" s="58">
        <v>900.0</v>
      </c>
      <c r="F30" s="59"/>
      <c r="G30" s="59"/>
      <c r="H30" s="59"/>
      <c r="I30" s="59"/>
      <c r="J30" s="60"/>
      <c r="K30" s="61">
        <f t="shared" ref="K30:K32" si="9">J30/E30*100%</f>
        <v>0</v>
      </c>
      <c r="L30" s="62">
        <v>0.7</v>
      </c>
      <c r="M30" s="61">
        <f t="shared" ref="M30:M32" si="10">L30*K30</f>
        <v>0</v>
      </c>
      <c r="N30" s="60"/>
    </row>
    <row r="31">
      <c r="A31" s="16"/>
      <c r="B31" s="16"/>
      <c r="C31" s="63" t="s">
        <v>47</v>
      </c>
      <c r="D31" s="57" t="s">
        <v>46</v>
      </c>
      <c r="E31" s="62">
        <v>1.0</v>
      </c>
      <c r="F31" s="59"/>
      <c r="G31" s="59"/>
      <c r="H31" s="59"/>
      <c r="I31" s="59"/>
      <c r="J31" s="60"/>
      <c r="K31" s="61">
        <f t="shared" si="9"/>
        <v>0</v>
      </c>
      <c r="L31" s="62">
        <v>0.2</v>
      </c>
      <c r="M31" s="61">
        <f t="shared" si="10"/>
        <v>0</v>
      </c>
      <c r="N31" s="57" t="s">
        <v>48</v>
      </c>
    </row>
    <row r="32">
      <c r="A32" s="16"/>
      <c r="B32" s="16"/>
      <c r="C32" s="63" t="s">
        <v>15</v>
      </c>
      <c r="D32" s="57" t="s">
        <v>46</v>
      </c>
      <c r="E32" s="62">
        <v>1.0</v>
      </c>
      <c r="F32" s="59"/>
      <c r="G32" s="59"/>
      <c r="H32" s="59"/>
      <c r="I32" s="59"/>
      <c r="J32" s="60"/>
      <c r="K32" s="61">
        <f t="shared" si="9"/>
        <v>0</v>
      </c>
      <c r="L32" s="62">
        <v>0.1</v>
      </c>
      <c r="M32" s="61">
        <f t="shared" si="10"/>
        <v>0</v>
      </c>
      <c r="N32" s="57" t="s">
        <v>49</v>
      </c>
    </row>
    <row r="33">
      <c r="A33" s="16"/>
      <c r="B33" s="16"/>
      <c r="C33" s="64"/>
      <c r="D33" s="64"/>
      <c r="E33" s="64"/>
      <c r="F33" s="60"/>
      <c r="G33" s="60"/>
      <c r="H33" s="60"/>
      <c r="I33" s="60"/>
      <c r="J33" s="60"/>
      <c r="K33" s="60"/>
      <c r="L33" s="59"/>
      <c r="M33" s="60"/>
      <c r="N33" s="60"/>
    </row>
    <row r="34">
      <c r="A34" s="16"/>
      <c r="B34" s="16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</row>
    <row r="35">
      <c r="A35" s="16"/>
      <c r="B35" s="16"/>
      <c r="C35" s="60"/>
      <c r="D35" s="60"/>
      <c r="E35" s="60"/>
      <c r="F35" s="60"/>
      <c r="G35" s="60"/>
      <c r="H35" s="60"/>
      <c r="I35" s="60"/>
      <c r="J35" s="60"/>
      <c r="K35" s="60"/>
      <c r="L35" s="65">
        <v>1.0</v>
      </c>
      <c r="M35" s="66">
        <f>sum(M30:M32)</f>
        <v>0</v>
      </c>
      <c r="N35" s="60"/>
    </row>
    <row r="36">
      <c r="A36" s="16"/>
      <c r="B36" s="16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</row>
    <row r="37">
      <c r="A37" s="16"/>
      <c r="B37" s="16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</row>
    <row r="38">
      <c r="A38" s="16"/>
      <c r="B38" s="16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</row>
    <row r="39">
      <c r="A39" s="24"/>
      <c r="B39" s="24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</row>
    <row r="40">
      <c r="A40" s="3"/>
      <c r="B40" s="3"/>
      <c r="C40" s="3"/>
      <c r="D40" s="3"/>
      <c r="E40" s="3"/>
      <c r="F40" s="4" t="s">
        <v>2</v>
      </c>
      <c r="G40" s="4" t="s">
        <v>3</v>
      </c>
      <c r="H40" s="4" t="s">
        <v>4</v>
      </c>
      <c r="I40" s="4" t="s">
        <v>5</v>
      </c>
      <c r="J40" s="3"/>
      <c r="K40" s="3"/>
      <c r="L40" s="3"/>
      <c r="M40" s="3"/>
      <c r="N40" s="3"/>
    </row>
    <row r="41">
      <c r="A41" s="67" t="s">
        <v>50</v>
      </c>
      <c r="B41" s="68" t="s">
        <v>51</v>
      </c>
      <c r="C41" s="69" t="s">
        <v>52</v>
      </c>
      <c r="D41" s="70" t="s">
        <v>53</v>
      </c>
      <c r="E41" s="71">
        <v>7.0E8</v>
      </c>
      <c r="F41" s="72"/>
      <c r="G41" s="72"/>
      <c r="H41" s="72"/>
      <c r="I41" s="72"/>
      <c r="J41" s="73"/>
      <c r="K41" s="74">
        <v>0.0</v>
      </c>
      <c r="L41" s="75">
        <v>0.4</v>
      </c>
      <c r="M41" s="76" t="e">
        <v>#DIV/0!</v>
      </c>
      <c r="N41" s="73"/>
    </row>
    <row r="42">
      <c r="A42" s="16"/>
      <c r="B42" s="16"/>
      <c r="C42" s="69" t="s">
        <v>54</v>
      </c>
      <c r="D42" s="70" t="s">
        <v>53</v>
      </c>
      <c r="E42" s="75">
        <v>1.0</v>
      </c>
      <c r="F42" s="72"/>
      <c r="G42" s="72"/>
      <c r="H42" s="72"/>
      <c r="I42" s="72"/>
      <c r="J42" s="73"/>
      <c r="K42" s="77">
        <f t="shared" ref="K42:K43" si="11">J42/E42*100%</f>
        <v>0</v>
      </c>
      <c r="L42" s="75">
        <v>0.2</v>
      </c>
      <c r="M42" s="76" t="e">
        <v>#DIV/0!</v>
      </c>
      <c r="N42" s="70" t="s">
        <v>55</v>
      </c>
    </row>
    <row r="43">
      <c r="A43" s="16"/>
      <c r="B43" s="16"/>
      <c r="C43" s="78" t="s">
        <v>56</v>
      </c>
      <c r="D43" s="70" t="s">
        <v>53</v>
      </c>
      <c r="E43" s="75">
        <v>1.0</v>
      </c>
      <c r="F43" s="72"/>
      <c r="G43" s="72"/>
      <c r="H43" s="72"/>
      <c r="I43" s="72"/>
      <c r="J43" s="73"/>
      <c r="K43" s="77">
        <f t="shared" si="11"/>
        <v>0</v>
      </c>
      <c r="L43" s="79">
        <v>0.15</v>
      </c>
      <c r="M43" s="76" t="e">
        <v>#DIV/0!</v>
      </c>
      <c r="N43" s="70" t="s">
        <v>57</v>
      </c>
    </row>
    <row r="44">
      <c r="A44" s="16"/>
      <c r="B44" s="16"/>
      <c r="C44" s="78" t="s">
        <v>58</v>
      </c>
      <c r="D44" s="70" t="s">
        <v>53</v>
      </c>
      <c r="E44" s="75">
        <v>1.0</v>
      </c>
      <c r="F44" s="73"/>
      <c r="G44" s="73"/>
      <c r="H44" s="73"/>
      <c r="I44" s="73"/>
      <c r="J44" s="73"/>
      <c r="K44" s="73"/>
      <c r="L44" s="75">
        <v>0.1</v>
      </c>
      <c r="M44" s="73"/>
      <c r="N44" s="70" t="s">
        <v>59</v>
      </c>
    </row>
    <row r="45">
      <c r="A45" s="16"/>
      <c r="B45" s="16"/>
      <c r="C45" s="78" t="s">
        <v>60</v>
      </c>
      <c r="D45" s="70" t="s">
        <v>53</v>
      </c>
      <c r="E45" s="70" t="s">
        <v>61</v>
      </c>
      <c r="F45" s="73"/>
      <c r="G45" s="73"/>
      <c r="H45" s="73"/>
      <c r="I45" s="73"/>
      <c r="J45" s="73"/>
      <c r="K45" s="73"/>
      <c r="L45" s="75">
        <v>0.1</v>
      </c>
      <c r="M45" s="73"/>
      <c r="N45" s="73"/>
    </row>
    <row r="46">
      <c r="A46" s="16"/>
      <c r="B46" s="16"/>
      <c r="C46" s="73"/>
      <c r="D46" s="73"/>
      <c r="E46" s="73"/>
      <c r="F46" s="73"/>
      <c r="G46" s="73"/>
      <c r="H46" s="73"/>
      <c r="I46" s="73"/>
      <c r="J46" s="73"/>
      <c r="K46" s="73"/>
      <c r="L46" s="80">
        <v>1.0</v>
      </c>
      <c r="M46" s="81" t="e">
        <v>#DIV/0!</v>
      </c>
      <c r="N46" s="73"/>
    </row>
    <row r="47">
      <c r="A47" s="16"/>
      <c r="B47" s="16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</row>
    <row r="48">
      <c r="A48" s="16"/>
      <c r="B48" s="16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</row>
    <row r="49">
      <c r="A49" s="16"/>
      <c r="B49" s="16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</row>
    <row r="50">
      <c r="A50" s="24"/>
      <c r="B50" s="24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</row>
    <row r="53">
      <c r="A53" s="83" t="s">
        <v>62</v>
      </c>
      <c r="B53" s="84" t="s">
        <v>51</v>
      </c>
      <c r="C53" s="85" t="s">
        <v>63</v>
      </c>
      <c r="D53" s="86" t="s">
        <v>64</v>
      </c>
      <c r="E53" s="87">
        <v>7.0E11</v>
      </c>
      <c r="F53" s="88"/>
      <c r="G53" s="88"/>
      <c r="H53" s="88"/>
      <c r="I53" s="88"/>
      <c r="J53" s="89"/>
      <c r="K53" s="90">
        <f t="shared" ref="K53:K56" si="12">J53/E53*100%</f>
        <v>0</v>
      </c>
      <c r="L53" s="90">
        <v>0.4</v>
      </c>
      <c r="M53" s="91" t="e">
        <v>#DIV/0!</v>
      </c>
      <c r="N53" s="89"/>
    </row>
    <row r="54">
      <c r="A54" s="16"/>
      <c r="B54" s="16"/>
      <c r="C54" s="85" t="s">
        <v>65</v>
      </c>
      <c r="D54" s="92" t="s">
        <v>64</v>
      </c>
      <c r="E54" s="93">
        <v>1.0</v>
      </c>
      <c r="F54" s="88"/>
      <c r="G54" s="88"/>
      <c r="H54" s="88"/>
      <c r="I54" s="88"/>
      <c r="J54" s="89"/>
      <c r="K54" s="90">
        <f t="shared" si="12"/>
        <v>0</v>
      </c>
      <c r="L54" s="90">
        <v>0.25</v>
      </c>
      <c r="M54" s="91" t="e">
        <v>#DIV/0!</v>
      </c>
      <c r="N54" s="92" t="s">
        <v>66</v>
      </c>
    </row>
    <row r="55">
      <c r="A55" s="16"/>
      <c r="B55" s="16"/>
      <c r="C55" s="85" t="s">
        <v>67</v>
      </c>
      <c r="D55" s="92" t="s">
        <v>64</v>
      </c>
      <c r="E55" s="93">
        <v>1.0</v>
      </c>
      <c r="F55" s="88"/>
      <c r="G55" s="88"/>
      <c r="H55" s="88"/>
      <c r="I55" s="88"/>
      <c r="J55" s="89"/>
      <c r="K55" s="90">
        <f t="shared" si="12"/>
        <v>0</v>
      </c>
      <c r="L55" s="90">
        <v>0.2</v>
      </c>
      <c r="M55" s="91" t="e">
        <v>#DIV/0!</v>
      </c>
      <c r="N55" s="92" t="s">
        <v>66</v>
      </c>
    </row>
    <row r="56">
      <c r="A56" s="16"/>
      <c r="B56" s="16"/>
      <c r="C56" s="85" t="s">
        <v>68</v>
      </c>
      <c r="D56" s="92" t="s">
        <v>64</v>
      </c>
      <c r="E56" s="93">
        <v>1.0</v>
      </c>
      <c r="F56" s="88"/>
      <c r="G56" s="88"/>
      <c r="H56" s="88"/>
      <c r="I56" s="88"/>
      <c r="J56" s="89"/>
      <c r="K56" s="90">
        <f t="shared" si="12"/>
        <v>0</v>
      </c>
      <c r="L56" s="90">
        <v>0.15</v>
      </c>
      <c r="M56" s="91" t="e">
        <v>#DIV/0!</v>
      </c>
      <c r="N56" s="92" t="s">
        <v>66</v>
      </c>
    </row>
    <row r="57">
      <c r="A57" s="16"/>
      <c r="B57" s="16"/>
      <c r="C57" s="78" t="s">
        <v>60</v>
      </c>
      <c r="D57" s="92" t="s">
        <v>64</v>
      </c>
      <c r="E57" s="92" t="s">
        <v>69</v>
      </c>
      <c r="F57" s="89"/>
      <c r="G57" s="89"/>
      <c r="H57" s="89"/>
      <c r="I57" s="89"/>
      <c r="J57" s="89"/>
      <c r="K57" s="89"/>
      <c r="L57" s="93">
        <v>0.1</v>
      </c>
      <c r="M57" s="89"/>
      <c r="N57" s="89"/>
    </row>
    <row r="58">
      <c r="A58" s="16"/>
      <c r="B58" s="16"/>
      <c r="C58" s="89"/>
      <c r="D58" s="89"/>
      <c r="E58" s="89"/>
      <c r="F58" s="89"/>
      <c r="G58" s="89"/>
      <c r="H58" s="89"/>
      <c r="I58" s="89"/>
      <c r="J58" s="89"/>
      <c r="K58" s="89"/>
      <c r="L58" s="94">
        <v>1.0</v>
      </c>
      <c r="M58" s="95" t="e">
        <v>#DIV/0!</v>
      </c>
      <c r="N58" s="89"/>
    </row>
    <row r="59">
      <c r="A59" s="16"/>
      <c r="B59" s="16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</row>
    <row r="60">
      <c r="A60" s="16"/>
      <c r="B60" s="16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</row>
    <row r="61">
      <c r="A61" s="16"/>
      <c r="B61" s="16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</row>
    <row r="62">
      <c r="A62" s="24"/>
      <c r="B62" s="24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</row>
  </sheetData>
  <mergeCells count="11">
    <mergeCell ref="A41:A50"/>
    <mergeCell ref="B41:B50"/>
    <mergeCell ref="A53:A62"/>
    <mergeCell ref="B53:B62"/>
    <mergeCell ref="A2:A9"/>
    <mergeCell ref="A11:A17"/>
    <mergeCell ref="B11:B17"/>
    <mergeCell ref="A19:A28"/>
    <mergeCell ref="B19:B28"/>
    <mergeCell ref="A30:A39"/>
    <mergeCell ref="B30:B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0.25"/>
    <col customWidth="1" min="3" max="3" width="19.38"/>
    <col customWidth="1" min="6" max="6" width="27.13"/>
  </cols>
  <sheetData>
    <row r="1">
      <c r="A1" s="96" t="s">
        <v>70</v>
      </c>
    </row>
    <row r="3">
      <c r="A3" s="82"/>
      <c r="B3" s="82"/>
      <c r="C3" s="97"/>
      <c r="D3" s="82"/>
      <c r="E3" s="82"/>
      <c r="F3" s="82"/>
    </row>
    <row r="4">
      <c r="A4" s="82" t="s">
        <v>71</v>
      </c>
      <c r="B4" s="82" t="s">
        <v>72</v>
      </c>
      <c r="C4" s="98">
        <v>250000.0</v>
      </c>
      <c r="D4" s="3" t="s">
        <v>73</v>
      </c>
      <c r="E4" s="3" t="s">
        <v>74</v>
      </c>
      <c r="F4" s="99">
        <v>500.0</v>
      </c>
    </row>
    <row r="5">
      <c r="A5" s="82"/>
      <c r="B5" s="82" t="s">
        <v>75</v>
      </c>
      <c r="C5" s="100" t="s">
        <v>76</v>
      </c>
      <c r="D5" s="101"/>
      <c r="E5" s="101"/>
      <c r="F5" s="102"/>
    </row>
    <row r="6">
      <c r="A6" s="82"/>
      <c r="B6" s="82" t="s">
        <v>77</v>
      </c>
      <c r="C6" s="103" t="s">
        <v>78</v>
      </c>
      <c r="D6" s="102"/>
      <c r="E6" s="3"/>
      <c r="F6" s="3"/>
    </row>
    <row r="7">
      <c r="A7" s="82"/>
      <c r="B7" s="82"/>
      <c r="C7" s="97"/>
      <c r="D7" s="82"/>
      <c r="E7" s="82"/>
      <c r="F7" s="82"/>
    </row>
    <row r="8">
      <c r="A8" s="82"/>
      <c r="B8" s="82"/>
      <c r="C8" s="97"/>
      <c r="D8" s="82"/>
      <c r="E8" s="82"/>
      <c r="F8" s="82"/>
    </row>
    <row r="9">
      <c r="A9" s="82" t="s">
        <v>79</v>
      </c>
      <c r="B9" s="82" t="s">
        <v>72</v>
      </c>
      <c r="C9" s="98">
        <v>250000.0</v>
      </c>
      <c r="D9" s="3" t="s">
        <v>73</v>
      </c>
      <c r="E9" s="3" t="s">
        <v>80</v>
      </c>
      <c r="F9" s="3" t="s">
        <v>81</v>
      </c>
    </row>
    <row r="10">
      <c r="A10" s="82"/>
      <c r="B10" s="82" t="s">
        <v>82</v>
      </c>
      <c r="C10" s="100" t="s">
        <v>83</v>
      </c>
      <c r="D10" s="101"/>
      <c r="E10" s="102"/>
      <c r="F10" s="3"/>
    </row>
    <row r="11">
      <c r="A11" s="82"/>
      <c r="B11" s="82" t="s">
        <v>77</v>
      </c>
      <c r="C11" s="3" t="s">
        <v>78</v>
      </c>
      <c r="D11" s="3"/>
      <c r="E11" s="3" t="s">
        <v>84</v>
      </c>
      <c r="F11" s="3"/>
    </row>
    <row r="12">
      <c r="A12" s="82"/>
      <c r="B12" s="82"/>
      <c r="C12" s="97"/>
      <c r="D12" s="82"/>
      <c r="E12" s="82"/>
      <c r="F12" s="82"/>
    </row>
    <row r="13">
      <c r="A13" s="3" t="s">
        <v>38</v>
      </c>
      <c r="B13" s="3" t="s">
        <v>72</v>
      </c>
      <c r="C13" s="98">
        <v>500000.0</v>
      </c>
      <c r="D13" s="3"/>
      <c r="E13" s="3"/>
      <c r="F13" s="82"/>
    </row>
    <row r="14">
      <c r="A14" s="82"/>
      <c r="B14" s="3" t="s">
        <v>82</v>
      </c>
      <c r="C14" s="100" t="s">
        <v>76</v>
      </c>
      <c r="D14" s="104"/>
      <c r="E14" s="105"/>
      <c r="F14" s="82"/>
    </row>
    <row r="15">
      <c r="A15" s="82"/>
      <c r="B15" s="3" t="s">
        <v>77</v>
      </c>
      <c r="C15" s="106"/>
      <c r="D15" s="3" t="s">
        <v>78</v>
      </c>
      <c r="E15" s="3" t="s">
        <v>85</v>
      </c>
      <c r="F15" s="82"/>
    </row>
    <row r="16">
      <c r="A16" s="82"/>
      <c r="B16" s="82"/>
      <c r="C16" s="97"/>
      <c r="D16" s="82"/>
      <c r="E16" s="82"/>
      <c r="F16" s="82"/>
    </row>
    <row r="17">
      <c r="A17" s="82" t="s">
        <v>86</v>
      </c>
      <c r="B17" s="3" t="s">
        <v>72</v>
      </c>
      <c r="C17" s="98">
        <v>250000.0</v>
      </c>
      <c r="D17" s="3" t="s">
        <v>73</v>
      </c>
      <c r="E17" s="3" t="s">
        <v>74</v>
      </c>
      <c r="F17" s="99">
        <v>500000.0</v>
      </c>
    </row>
    <row r="18">
      <c r="A18" s="82"/>
      <c r="B18" s="3" t="s">
        <v>82</v>
      </c>
      <c r="C18" s="100" t="s">
        <v>83</v>
      </c>
      <c r="D18" s="101"/>
      <c r="E18" s="101"/>
      <c r="F18" s="102"/>
    </row>
    <row r="19">
      <c r="A19" s="82"/>
      <c r="B19" s="3" t="s">
        <v>77</v>
      </c>
      <c r="C19" s="103" t="s">
        <v>78</v>
      </c>
      <c r="D19" s="102"/>
      <c r="E19" s="3"/>
      <c r="F19" s="3"/>
    </row>
    <row r="20">
      <c r="A20" s="82"/>
      <c r="B20" s="82"/>
      <c r="C20" s="97"/>
      <c r="D20" s="82"/>
      <c r="E20" s="82"/>
      <c r="F20" s="82"/>
    </row>
    <row r="21">
      <c r="A21" s="82"/>
      <c r="B21" s="3" t="s">
        <v>87</v>
      </c>
      <c r="C21" s="98">
        <v>1500000.0</v>
      </c>
      <c r="D21" s="82"/>
      <c r="E21" s="82"/>
      <c r="F21" s="82"/>
    </row>
    <row r="22">
      <c r="A22" s="82"/>
      <c r="B22" s="3" t="s">
        <v>88</v>
      </c>
      <c r="C22" s="98">
        <v>1000000.0</v>
      </c>
      <c r="D22" s="82"/>
      <c r="E22" s="82"/>
      <c r="F22" s="82"/>
    </row>
    <row r="23">
      <c r="A23" s="82" t="s">
        <v>89</v>
      </c>
      <c r="B23" s="3" t="s">
        <v>72</v>
      </c>
      <c r="C23" s="98">
        <v>500000.0</v>
      </c>
      <c r="D23" s="82"/>
      <c r="E23" s="82"/>
      <c r="F23" s="82"/>
    </row>
    <row r="24">
      <c r="A24" s="82"/>
      <c r="B24" s="3" t="s">
        <v>82</v>
      </c>
      <c r="C24" s="106" t="s">
        <v>90</v>
      </c>
      <c r="D24" s="82"/>
      <c r="E24" s="82"/>
      <c r="F24" s="82"/>
    </row>
    <row r="25">
      <c r="A25" s="82"/>
      <c r="B25" s="3" t="s">
        <v>91</v>
      </c>
      <c r="C25" s="3" t="s">
        <v>85</v>
      </c>
      <c r="D25" s="82"/>
      <c r="E25" s="82"/>
      <c r="F25" s="82"/>
    </row>
    <row r="26">
      <c r="A26" s="82"/>
      <c r="B26" s="82"/>
      <c r="C26" s="82"/>
      <c r="D26" s="82"/>
      <c r="E26" s="82"/>
      <c r="F26" s="82"/>
    </row>
    <row r="27">
      <c r="A27" s="82"/>
      <c r="B27" s="82"/>
      <c r="C27" s="82"/>
      <c r="D27" s="82"/>
      <c r="E27" s="82"/>
      <c r="F27" s="82"/>
    </row>
    <row r="28">
      <c r="A28" s="82"/>
      <c r="B28" s="82"/>
      <c r="C28" s="97"/>
      <c r="D28" s="82"/>
      <c r="E28" s="82"/>
      <c r="F28" s="82"/>
    </row>
    <row r="29">
      <c r="A29" s="82"/>
      <c r="B29" s="3" t="s">
        <v>87</v>
      </c>
      <c r="C29" s="98">
        <v>1250000.0</v>
      </c>
      <c r="D29" s="82"/>
      <c r="E29" s="82"/>
      <c r="F29" s="82"/>
    </row>
    <row r="30">
      <c r="A30" s="82"/>
      <c r="B30" s="3" t="s">
        <v>92</v>
      </c>
      <c r="C30" s="98">
        <v>750000.0</v>
      </c>
      <c r="D30" s="82"/>
      <c r="E30" s="82"/>
      <c r="F30" s="82"/>
    </row>
    <row r="31">
      <c r="A31" s="82" t="s">
        <v>93</v>
      </c>
      <c r="B31" s="3" t="s">
        <v>94</v>
      </c>
      <c r="C31" s="98">
        <v>500000.0</v>
      </c>
      <c r="D31" s="82"/>
      <c r="E31" s="82"/>
      <c r="F31" s="82"/>
    </row>
    <row r="32">
      <c r="A32" s="82"/>
      <c r="B32" s="3" t="s">
        <v>82</v>
      </c>
      <c r="C32" s="106" t="s">
        <v>90</v>
      </c>
      <c r="D32" s="82"/>
      <c r="E32" s="82"/>
      <c r="F32" s="82"/>
    </row>
    <row r="33">
      <c r="A33" s="82"/>
      <c r="B33" s="3" t="s">
        <v>91</v>
      </c>
      <c r="C33" s="3" t="s">
        <v>95</v>
      </c>
      <c r="D33" s="82"/>
      <c r="E33" s="82"/>
      <c r="F33" s="82"/>
    </row>
    <row r="34">
      <c r="A34" s="82"/>
      <c r="B34" s="82"/>
      <c r="C34" s="82"/>
      <c r="D34" s="82"/>
      <c r="E34" s="82"/>
      <c r="F34" s="82"/>
    </row>
    <row r="35">
      <c r="A35" s="82" t="s">
        <v>96</v>
      </c>
      <c r="B35" s="82" t="s">
        <v>97</v>
      </c>
      <c r="C35" s="82"/>
      <c r="D35" s="82"/>
      <c r="E35" s="82"/>
      <c r="F35" s="82"/>
    </row>
    <row r="36">
      <c r="A36" s="82"/>
      <c r="B36" s="82"/>
      <c r="C36" s="82"/>
      <c r="D36" s="82"/>
      <c r="E36" s="82"/>
      <c r="F36" s="82"/>
    </row>
  </sheetData>
  <mergeCells count="6">
    <mergeCell ref="A1:F2"/>
    <mergeCell ref="C5:F5"/>
    <mergeCell ref="C6:D6"/>
    <mergeCell ref="C10:E10"/>
    <mergeCell ref="C18:F18"/>
    <mergeCell ref="C19:D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6.13"/>
    <col customWidth="1" min="3" max="3" width="17.0"/>
    <col customWidth="1" min="4" max="4" width="21.63"/>
    <col customWidth="1" min="5" max="5" width="18.75"/>
  </cols>
  <sheetData>
    <row r="1">
      <c r="A1" s="1" t="s">
        <v>0</v>
      </c>
      <c r="B1" s="2" t="s">
        <v>1</v>
      </c>
      <c r="C1" s="25" t="s">
        <v>24</v>
      </c>
      <c r="D1" s="26" t="s">
        <v>25</v>
      </c>
      <c r="E1" s="26" t="s">
        <v>26</v>
      </c>
      <c r="F1" s="4" t="s">
        <v>2</v>
      </c>
      <c r="G1" s="4" t="s">
        <v>3</v>
      </c>
      <c r="H1" s="4" t="s">
        <v>4</v>
      </c>
      <c r="I1" s="4" t="s">
        <v>5</v>
      </c>
      <c r="J1" s="5" t="s">
        <v>6</v>
      </c>
      <c r="K1" s="26" t="s">
        <v>7</v>
      </c>
      <c r="L1" s="26" t="s">
        <v>8</v>
      </c>
      <c r="M1" s="26" t="s">
        <v>9</v>
      </c>
      <c r="N1" s="3"/>
    </row>
    <row r="2">
      <c r="A2" s="27" t="s">
        <v>27</v>
      </c>
      <c r="B2" s="28" t="s">
        <v>28</v>
      </c>
      <c r="C2" s="29" t="s">
        <v>11</v>
      </c>
      <c r="D2" s="30" t="s">
        <v>27</v>
      </c>
      <c r="E2" s="31">
        <v>8.5E10</v>
      </c>
      <c r="F2" s="32"/>
      <c r="G2" s="32"/>
      <c r="H2" s="32"/>
      <c r="I2" s="32"/>
      <c r="J2" s="33"/>
      <c r="K2" s="34">
        <f t="shared" ref="K2:K6" si="1">J2/E2*100%</f>
        <v>0</v>
      </c>
      <c r="L2" s="35">
        <v>0.35</v>
      </c>
      <c r="M2" s="34">
        <f t="shared" ref="M2:M6" si="2">L2*K2</f>
        <v>0</v>
      </c>
      <c r="N2" s="36"/>
    </row>
    <row r="3">
      <c r="A3" s="16"/>
      <c r="B3" s="16"/>
      <c r="C3" s="29" t="s">
        <v>29</v>
      </c>
      <c r="D3" s="30" t="s">
        <v>27</v>
      </c>
      <c r="E3" s="34">
        <v>1.0</v>
      </c>
      <c r="F3" s="32"/>
      <c r="G3" s="32"/>
      <c r="H3" s="32"/>
      <c r="I3" s="32"/>
      <c r="J3" s="33"/>
      <c r="K3" s="34">
        <f t="shared" si="1"/>
        <v>0</v>
      </c>
      <c r="L3" s="35">
        <v>0.1</v>
      </c>
      <c r="M3" s="34">
        <f t="shared" si="2"/>
        <v>0</v>
      </c>
      <c r="N3" s="33" t="s">
        <v>30</v>
      </c>
    </row>
    <row r="4">
      <c r="A4" s="16"/>
      <c r="B4" s="16"/>
      <c r="C4" s="29" t="s">
        <v>15</v>
      </c>
      <c r="D4" s="30" t="s">
        <v>27</v>
      </c>
      <c r="E4" s="34">
        <v>1.0</v>
      </c>
      <c r="F4" s="32"/>
      <c r="G4" s="32"/>
      <c r="H4" s="32"/>
      <c r="I4" s="32"/>
      <c r="J4" s="33"/>
      <c r="K4" s="34">
        <f t="shared" si="1"/>
        <v>0</v>
      </c>
      <c r="L4" s="35">
        <v>0.15</v>
      </c>
      <c r="M4" s="34">
        <f t="shared" si="2"/>
        <v>0</v>
      </c>
      <c r="N4" s="33" t="s">
        <v>30</v>
      </c>
    </row>
    <row r="5">
      <c r="A5" s="16"/>
      <c r="B5" s="16"/>
      <c r="C5" s="29" t="s">
        <v>31</v>
      </c>
      <c r="D5" s="30" t="s">
        <v>27</v>
      </c>
      <c r="E5" s="34">
        <v>1.0</v>
      </c>
      <c r="F5" s="37"/>
      <c r="G5" s="37"/>
      <c r="H5" s="37"/>
      <c r="I5" s="37"/>
      <c r="J5" s="33"/>
      <c r="K5" s="34">
        <f t="shared" si="1"/>
        <v>0</v>
      </c>
      <c r="L5" s="35">
        <v>0.3</v>
      </c>
      <c r="M5" s="34">
        <f t="shared" si="2"/>
        <v>0</v>
      </c>
      <c r="N5" s="38" t="s">
        <v>32</v>
      </c>
    </row>
    <row r="6">
      <c r="A6" s="16"/>
      <c r="B6" s="16"/>
      <c r="C6" s="29" t="s">
        <v>33</v>
      </c>
      <c r="D6" s="30" t="s">
        <v>27</v>
      </c>
      <c r="E6" s="34">
        <v>1.0</v>
      </c>
      <c r="F6" s="32"/>
      <c r="G6" s="32"/>
      <c r="H6" s="32"/>
      <c r="I6" s="32"/>
      <c r="J6" s="33"/>
      <c r="K6" s="34">
        <f t="shared" si="1"/>
        <v>0</v>
      </c>
      <c r="L6" s="35">
        <v>0.1</v>
      </c>
      <c r="M6" s="34">
        <f t="shared" si="2"/>
        <v>0</v>
      </c>
      <c r="N6" s="39" t="s">
        <v>34</v>
      </c>
    </row>
    <row r="7">
      <c r="A7" s="16"/>
      <c r="B7" s="16"/>
      <c r="C7" s="36"/>
      <c r="D7" s="36"/>
      <c r="E7" s="32"/>
      <c r="F7" s="40"/>
      <c r="G7" s="40"/>
      <c r="H7" s="40"/>
      <c r="I7" s="40"/>
      <c r="J7" s="36"/>
      <c r="K7" s="36"/>
      <c r="L7" s="41">
        <v>1.0</v>
      </c>
      <c r="M7" s="42">
        <f>SUM(M2:M6)</f>
        <v>0</v>
      </c>
      <c r="N7" s="36"/>
    </row>
    <row r="8">
      <c r="A8" s="24"/>
      <c r="B8" s="24"/>
      <c r="C8" s="36"/>
      <c r="D8" s="36"/>
      <c r="E8" s="40"/>
      <c r="F8" s="40"/>
      <c r="G8" s="40"/>
      <c r="H8" s="40"/>
      <c r="I8" s="40"/>
      <c r="J8" s="36"/>
      <c r="K8" s="36"/>
      <c r="L8" s="36"/>
      <c r="M8" s="36"/>
      <c r="N8" s="36"/>
    </row>
    <row r="9">
      <c r="A9" s="3"/>
      <c r="B9" s="3"/>
      <c r="C9" s="3"/>
      <c r="D9" s="3"/>
      <c r="E9" s="3"/>
      <c r="F9" s="4" t="s">
        <v>2</v>
      </c>
      <c r="G9" s="4" t="s">
        <v>3</v>
      </c>
      <c r="H9" s="4" t="s">
        <v>4</v>
      </c>
      <c r="I9" s="4" t="s">
        <v>5</v>
      </c>
      <c r="J9" s="5" t="s">
        <v>6</v>
      </c>
      <c r="K9" s="3"/>
      <c r="L9" s="3"/>
      <c r="M9" s="3"/>
      <c r="N9" s="3"/>
    </row>
    <row r="10">
      <c r="A10" s="43" t="s">
        <v>35</v>
      </c>
      <c r="B10" s="44" t="s">
        <v>36</v>
      </c>
      <c r="C10" s="45" t="s">
        <v>37</v>
      </c>
      <c r="D10" s="46" t="s">
        <v>38</v>
      </c>
      <c r="E10" s="47">
        <v>1.0</v>
      </c>
      <c r="F10" s="48"/>
      <c r="G10" s="48"/>
      <c r="H10" s="48"/>
      <c r="I10" s="48"/>
      <c r="J10" s="48"/>
      <c r="K10" s="49">
        <f t="shared" ref="K10:K12" si="3">J10/E10*100%</f>
        <v>0</v>
      </c>
      <c r="L10" s="47">
        <v>0.45</v>
      </c>
      <c r="M10" s="49">
        <f t="shared" ref="M10:M12" si="4">L10*K10</f>
        <v>0</v>
      </c>
      <c r="N10" s="50" t="s">
        <v>98</v>
      </c>
    </row>
    <row r="11">
      <c r="A11" s="16"/>
      <c r="B11" s="16"/>
      <c r="C11" s="45" t="s">
        <v>15</v>
      </c>
      <c r="D11" s="46" t="s">
        <v>38</v>
      </c>
      <c r="E11" s="47">
        <v>1.0</v>
      </c>
      <c r="F11" s="48"/>
      <c r="G11" s="48"/>
      <c r="H11" s="48"/>
      <c r="I11" s="48"/>
      <c r="J11" s="51"/>
      <c r="K11" s="49">
        <f t="shared" si="3"/>
        <v>0</v>
      </c>
      <c r="L11" s="47">
        <v>0.2</v>
      </c>
      <c r="M11" s="49">
        <f t="shared" si="4"/>
        <v>0</v>
      </c>
      <c r="N11" s="50" t="s">
        <v>40</v>
      </c>
    </row>
    <row r="12">
      <c r="A12" s="16"/>
      <c r="B12" s="16"/>
      <c r="C12" s="45" t="s">
        <v>41</v>
      </c>
      <c r="D12" s="46" t="s">
        <v>38</v>
      </c>
      <c r="E12" s="47">
        <v>1.0</v>
      </c>
      <c r="F12" s="48"/>
      <c r="G12" s="48"/>
      <c r="H12" s="48"/>
      <c r="I12" s="48"/>
      <c r="J12" s="51"/>
      <c r="K12" s="49">
        <f t="shared" si="3"/>
        <v>0</v>
      </c>
      <c r="L12" s="47">
        <v>0.35</v>
      </c>
      <c r="M12" s="49">
        <f t="shared" si="4"/>
        <v>0</v>
      </c>
      <c r="N12" s="50" t="s">
        <v>42</v>
      </c>
    </row>
    <row r="13">
      <c r="A13" s="16"/>
      <c r="B13" s="16"/>
      <c r="C13" s="51"/>
      <c r="D13" s="51"/>
      <c r="E13" s="51"/>
      <c r="F13" s="51"/>
      <c r="G13" s="51"/>
      <c r="H13" s="51"/>
      <c r="I13" s="51"/>
      <c r="J13" s="51"/>
      <c r="K13" s="51"/>
      <c r="L13" s="48"/>
      <c r="M13" s="51"/>
      <c r="N13" s="51"/>
    </row>
    <row r="14">
      <c r="A14" s="16"/>
      <c r="B14" s="16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</row>
    <row r="15">
      <c r="A15" s="16"/>
      <c r="B15" s="16"/>
      <c r="C15" s="51"/>
      <c r="D15" s="51"/>
      <c r="E15" s="51"/>
      <c r="F15" s="51"/>
      <c r="G15" s="51"/>
      <c r="H15" s="51"/>
      <c r="I15" s="51"/>
      <c r="J15" s="51"/>
      <c r="K15" s="51"/>
      <c r="L15" s="52">
        <v>1.0</v>
      </c>
      <c r="M15" s="53">
        <f>SUM(M10:M12)</f>
        <v>0</v>
      </c>
      <c r="N15" s="51"/>
    </row>
    <row r="16">
      <c r="A16" s="16"/>
      <c r="B16" s="16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>
      <c r="A17" s="16"/>
      <c r="B17" s="16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>
      <c r="A18" s="16"/>
      <c r="B18" s="16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>
      <c r="A19" s="24"/>
      <c r="B19" s="24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>
      <c r="A20" s="3"/>
      <c r="B20" s="3"/>
      <c r="C20" s="3"/>
      <c r="D20" s="3"/>
      <c r="E20" s="3"/>
      <c r="F20" s="4" t="s">
        <v>2</v>
      </c>
      <c r="G20" s="4" t="s">
        <v>3</v>
      </c>
      <c r="H20" s="4" t="s">
        <v>4</v>
      </c>
      <c r="I20" s="4" t="s">
        <v>5</v>
      </c>
      <c r="J20" s="5" t="s">
        <v>6</v>
      </c>
      <c r="K20" s="3"/>
      <c r="L20" s="3"/>
      <c r="M20" s="3"/>
      <c r="N20" s="3"/>
    </row>
    <row r="21">
      <c r="A21" s="54" t="s">
        <v>43</v>
      </c>
      <c r="B21" s="55" t="s">
        <v>44</v>
      </c>
      <c r="C21" s="56" t="s">
        <v>45</v>
      </c>
      <c r="D21" s="57" t="s">
        <v>46</v>
      </c>
      <c r="E21" s="58">
        <v>900.0</v>
      </c>
      <c r="F21" s="59"/>
      <c r="G21" s="59"/>
      <c r="H21" s="59"/>
      <c r="I21" s="59"/>
      <c r="J21" s="60"/>
      <c r="K21" s="61">
        <f t="shared" ref="K21:K23" si="5">J21/E21*100%</f>
        <v>0</v>
      </c>
      <c r="L21" s="62">
        <v>0.7</v>
      </c>
      <c r="M21" s="61">
        <f t="shared" ref="M21:M23" si="6">L21*K21</f>
        <v>0</v>
      </c>
      <c r="N21" s="60"/>
    </row>
    <row r="22">
      <c r="A22" s="16"/>
      <c r="B22" s="16"/>
      <c r="C22" s="63" t="s">
        <v>47</v>
      </c>
      <c r="D22" s="57" t="s">
        <v>46</v>
      </c>
      <c r="E22" s="62">
        <v>1.0</v>
      </c>
      <c r="F22" s="59"/>
      <c r="G22" s="59"/>
      <c r="H22" s="59"/>
      <c r="I22" s="59"/>
      <c r="J22" s="60"/>
      <c r="K22" s="61">
        <f t="shared" si="5"/>
        <v>0</v>
      </c>
      <c r="L22" s="62">
        <v>0.2</v>
      </c>
      <c r="M22" s="61">
        <f t="shared" si="6"/>
        <v>0</v>
      </c>
      <c r="N22" s="57" t="s">
        <v>48</v>
      </c>
    </row>
    <row r="23">
      <c r="A23" s="16"/>
      <c r="B23" s="16"/>
      <c r="C23" s="63" t="s">
        <v>15</v>
      </c>
      <c r="D23" s="57" t="s">
        <v>46</v>
      </c>
      <c r="E23" s="62">
        <v>1.0</v>
      </c>
      <c r="F23" s="59"/>
      <c r="G23" s="59"/>
      <c r="H23" s="59"/>
      <c r="I23" s="59"/>
      <c r="J23" s="60"/>
      <c r="K23" s="61">
        <f t="shared" si="5"/>
        <v>0</v>
      </c>
      <c r="L23" s="62">
        <v>0.1</v>
      </c>
      <c r="M23" s="61">
        <f t="shared" si="6"/>
        <v>0</v>
      </c>
      <c r="N23" s="57" t="s">
        <v>49</v>
      </c>
    </row>
    <row r="24">
      <c r="A24" s="16"/>
      <c r="B24" s="16"/>
      <c r="C24" s="64"/>
      <c r="D24" s="64"/>
      <c r="E24" s="64"/>
      <c r="F24" s="60"/>
      <c r="G24" s="60"/>
      <c r="H24" s="60"/>
      <c r="I24" s="60"/>
      <c r="J24" s="60"/>
      <c r="K24" s="60"/>
      <c r="L24" s="59"/>
      <c r="M24" s="60"/>
      <c r="N24" s="60"/>
    </row>
    <row r="25">
      <c r="A25" s="16"/>
      <c r="B25" s="16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</row>
    <row r="26">
      <c r="A26" s="16"/>
      <c r="B26" s="16"/>
      <c r="C26" s="60"/>
      <c r="D26" s="60"/>
      <c r="E26" s="60"/>
      <c r="F26" s="60"/>
      <c r="G26" s="60"/>
      <c r="H26" s="60"/>
      <c r="I26" s="60"/>
      <c r="J26" s="60"/>
      <c r="K26" s="60"/>
      <c r="L26" s="65">
        <v>1.0</v>
      </c>
      <c r="M26" s="66">
        <f>sum(M21:M23)</f>
        <v>0</v>
      </c>
      <c r="N26" s="60"/>
    </row>
    <row r="27">
      <c r="A27" s="16"/>
      <c r="B27" s="16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</row>
    <row r="28">
      <c r="A28" s="16"/>
      <c r="B28" s="16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</row>
    <row r="29">
      <c r="A29" s="16"/>
      <c r="B29" s="16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>
      <c r="A30" s="24"/>
      <c r="B30" s="24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>
      <c r="A31" s="3"/>
      <c r="B31" s="3"/>
      <c r="C31" s="3"/>
      <c r="D31" s="3"/>
      <c r="E31" s="3"/>
      <c r="F31" s="4" t="s">
        <v>2</v>
      </c>
      <c r="G31" s="4" t="s">
        <v>3</v>
      </c>
      <c r="H31" s="4" t="s">
        <v>4</v>
      </c>
      <c r="I31" s="4" t="s">
        <v>5</v>
      </c>
      <c r="J31" s="3"/>
      <c r="K31" s="3"/>
      <c r="L31" s="3"/>
      <c r="M31" s="3"/>
      <c r="N31" s="3"/>
    </row>
    <row r="32">
      <c r="A32" s="67" t="s">
        <v>50</v>
      </c>
      <c r="B32" s="68" t="s">
        <v>51</v>
      </c>
      <c r="C32" s="69" t="s">
        <v>52</v>
      </c>
      <c r="D32" s="73"/>
      <c r="E32" s="75">
        <v>1.0</v>
      </c>
      <c r="F32" s="72"/>
      <c r="G32" s="72"/>
      <c r="H32" s="72"/>
      <c r="I32" s="72"/>
      <c r="J32" s="73"/>
      <c r="K32" s="34">
        <f t="shared" ref="K32:K35" si="7">J32/E32*100%</f>
        <v>0</v>
      </c>
      <c r="L32" s="79">
        <v>0.4</v>
      </c>
      <c r="M32" s="76" t="e">
        <v>#DIV/0!</v>
      </c>
      <c r="N32" s="73"/>
    </row>
    <row r="33">
      <c r="A33" s="16"/>
      <c r="B33" s="16"/>
      <c r="C33" s="69" t="s">
        <v>54</v>
      </c>
      <c r="D33" s="73"/>
      <c r="E33" s="75">
        <v>1.0</v>
      </c>
      <c r="F33" s="72"/>
      <c r="G33" s="72"/>
      <c r="H33" s="72"/>
      <c r="I33" s="72"/>
      <c r="J33" s="73"/>
      <c r="K33" s="34">
        <f t="shared" si="7"/>
        <v>0</v>
      </c>
      <c r="L33" s="79">
        <v>0.25</v>
      </c>
      <c r="M33" s="76" t="e">
        <v>#DIV/0!</v>
      </c>
      <c r="N33" s="73"/>
    </row>
    <row r="34">
      <c r="A34" s="16"/>
      <c r="B34" s="16"/>
      <c r="C34" s="69" t="s">
        <v>99</v>
      </c>
      <c r="D34" s="73"/>
      <c r="E34" s="75">
        <v>1.0</v>
      </c>
      <c r="F34" s="72"/>
      <c r="G34" s="72"/>
      <c r="H34" s="72"/>
      <c r="I34" s="72"/>
      <c r="J34" s="73"/>
      <c r="K34" s="34">
        <f t="shared" si="7"/>
        <v>0</v>
      </c>
      <c r="L34" s="79">
        <v>0.2</v>
      </c>
      <c r="M34" s="76" t="e">
        <v>#DIV/0!</v>
      </c>
      <c r="N34" s="73"/>
    </row>
    <row r="35">
      <c r="A35" s="16"/>
      <c r="B35" s="16"/>
      <c r="C35" s="69" t="s">
        <v>100</v>
      </c>
      <c r="D35" s="73"/>
      <c r="E35" s="75">
        <v>1.0</v>
      </c>
      <c r="F35" s="72"/>
      <c r="G35" s="72"/>
      <c r="H35" s="72"/>
      <c r="I35" s="72"/>
      <c r="J35" s="73"/>
      <c r="K35" s="34">
        <f t="shared" si="7"/>
        <v>0</v>
      </c>
      <c r="L35" s="79">
        <v>0.15</v>
      </c>
      <c r="M35" s="76" t="e">
        <v>#DIV/0!</v>
      </c>
      <c r="N35" s="73"/>
    </row>
    <row r="36">
      <c r="A36" s="16"/>
      <c r="B36" s="16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</row>
    <row r="37">
      <c r="A37" s="16"/>
      <c r="B37" s="16"/>
      <c r="C37" s="73"/>
      <c r="D37" s="73"/>
      <c r="E37" s="73"/>
      <c r="F37" s="73"/>
      <c r="G37" s="73"/>
      <c r="H37" s="73"/>
      <c r="I37" s="73"/>
      <c r="J37" s="73"/>
      <c r="K37" s="73"/>
      <c r="L37" s="80">
        <v>1.0</v>
      </c>
      <c r="M37" s="81" t="e">
        <v>#DIV/0!</v>
      </c>
      <c r="N37" s="73"/>
    </row>
    <row r="38">
      <c r="A38" s="16"/>
      <c r="B38" s="16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</row>
    <row r="39">
      <c r="A39" s="16"/>
      <c r="B39" s="16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</row>
    <row r="40">
      <c r="A40" s="16"/>
      <c r="B40" s="16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</row>
    <row r="41">
      <c r="A41" s="24"/>
      <c r="B41" s="24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</row>
    <row r="44">
      <c r="A44" s="83" t="s">
        <v>62</v>
      </c>
      <c r="B44" s="84" t="s">
        <v>51</v>
      </c>
      <c r="C44" s="85" t="s">
        <v>63</v>
      </c>
      <c r="D44" s="86" t="s">
        <v>64</v>
      </c>
      <c r="E44" s="87">
        <v>8.5E10</v>
      </c>
      <c r="F44" s="88"/>
      <c r="G44" s="88"/>
      <c r="H44" s="88"/>
      <c r="I44" s="88"/>
      <c r="J44" s="89"/>
      <c r="K44" s="90">
        <f t="shared" ref="K44:K47" si="8">J44/E44*100%</f>
        <v>0</v>
      </c>
      <c r="L44" s="90">
        <v>0.4</v>
      </c>
      <c r="M44" s="91" t="e">
        <v>#DIV/0!</v>
      </c>
      <c r="N44" s="89"/>
    </row>
    <row r="45">
      <c r="A45" s="16"/>
      <c r="B45" s="16"/>
      <c r="C45" s="85" t="s">
        <v>65</v>
      </c>
      <c r="D45" s="92" t="s">
        <v>64</v>
      </c>
      <c r="E45" s="93">
        <v>1.0</v>
      </c>
      <c r="F45" s="88"/>
      <c r="G45" s="88"/>
      <c r="H45" s="88"/>
      <c r="I45" s="88"/>
      <c r="J45" s="89"/>
      <c r="K45" s="90">
        <f t="shared" si="8"/>
        <v>0</v>
      </c>
      <c r="L45" s="90">
        <v>0.25</v>
      </c>
      <c r="M45" s="91" t="e">
        <v>#DIV/0!</v>
      </c>
      <c r="N45" s="92" t="s">
        <v>66</v>
      </c>
    </row>
    <row r="46">
      <c r="A46" s="16"/>
      <c r="B46" s="16"/>
      <c r="C46" s="85" t="s">
        <v>101</v>
      </c>
      <c r="D46" s="92" t="s">
        <v>64</v>
      </c>
      <c r="E46" s="93">
        <v>1.0</v>
      </c>
      <c r="F46" s="88"/>
      <c r="G46" s="88"/>
      <c r="H46" s="88"/>
      <c r="I46" s="88"/>
      <c r="J46" s="89"/>
      <c r="K46" s="90">
        <f t="shared" si="8"/>
        <v>0</v>
      </c>
      <c r="L46" s="90">
        <v>0.2</v>
      </c>
      <c r="M46" s="91" t="e">
        <v>#DIV/0!</v>
      </c>
      <c r="N46" s="92" t="s">
        <v>66</v>
      </c>
    </row>
    <row r="47">
      <c r="A47" s="16"/>
      <c r="B47" s="16"/>
      <c r="C47" s="85" t="s">
        <v>102</v>
      </c>
      <c r="D47" s="92" t="s">
        <v>64</v>
      </c>
      <c r="E47" s="93">
        <v>1.0</v>
      </c>
      <c r="F47" s="88"/>
      <c r="G47" s="88"/>
      <c r="H47" s="88"/>
      <c r="I47" s="88"/>
      <c r="J47" s="89"/>
      <c r="K47" s="90">
        <f t="shared" si="8"/>
        <v>0</v>
      </c>
      <c r="L47" s="90">
        <v>0.15</v>
      </c>
      <c r="M47" s="91" t="e">
        <v>#DIV/0!</v>
      </c>
      <c r="N47" s="92" t="s">
        <v>66</v>
      </c>
    </row>
    <row r="48">
      <c r="A48" s="16"/>
      <c r="B48" s="16"/>
      <c r="C48" s="78" t="s">
        <v>60</v>
      </c>
      <c r="D48" s="92" t="s">
        <v>64</v>
      </c>
      <c r="E48" s="92" t="s">
        <v>69</v>
      </c>
      <c r="F48" s="89"/>
      <c r="G48" s="89"/>
      <c r="H48" s="89"/>
      <c r="I48" s="89"/>
      <c r="J48" s="89"/>
      <c r="K48" s="89"/>
      <c r="L48" s="93">
        <v>0.1</v>
      </c>
      <c r="M48" s="89"/>
      <c r="N48" s="89"/>
    </row>
    <row r="49">
      <c r="A49" s="16"/>
      <c r="B49" s="16"/>
      <c r="C49" s="89"/>
      <c r="D49" s="89"/>
      <c r="E49" s="89"/>
      <c r="F49" s="89"/>
      <c r="G49" s="89"/>
      <c r="H49" s="89"/>
      <c r="I49" s="89"/>
      <c r="J49" s="89"/>
      <c r="K49" s="89"/>
      <c r="L49" s="94">
        <v>1.0</v>
      </c>
      <c r="M49" s="95" t="e">
        <v>#DIV/0!</v>
      </c>
      <c r="N49" s="89"/>
    </row>
    <row r="50">
      <c r="A50" s="16"/>
      <c r="B50" s="16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</row>
    <row r="51">
      <c r="A51" s="16"/>
      <c r="B51" s="16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</row>
    <row r="52">
      <c r="A52" s="16"/>
      <c r="B52" s="16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</row>
    <row r="53">
      <c r="A53" s="24"/>
      <c r="B53" s="24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</row>
  </sheetData>
  <mergeCells count="10">
    <mergeCell ref="A32:A41"/>
    <mergeCell ref="A44:A53"/>
    <mergeCell ref="B44:B53"/>
    <mergeCell ref="A2:A8"/>
    <mergeCell ref="B2:B8"/>
    <mergeCell ref="A10:A19"/>
    <mergeCell ref="B10:B19"/>
    <mergeCell ref="A21:A30"/>
    <mergeCell ref="B21:B30"/>
    <mergeCell ref="B32:B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/>
      <c r="B1" s="82"/>
      <c r="C1" s="97"/>
      <c r="D1" s="82"/>
      <c r="E1" s="82"/>
      <c r="F1" s="82"/>
    </row>
    <row r="2">
      <c r="A2" s="96" t="s">
        <v>103</v>
      </c>
    </row>
    <row r="4">
      <c r="A4" s="82"/>
      <c r="B4" s="82"/>
      <c r="C4" s="97"/>
      <c r="D4" s="82"/>
      <c r="E4" s="82"/>
      <c r="F4" s="82"/>
    </row>
    <row r="5">
      <c r="A5" s="82" t="s">
        <v>79</v>
      </c>
      <c r="B5" s="82" t="s">
        <v>72</v>
      </c>
      <c r="C5" s="98">
        <v>250000.0</v>
      </c>
      <c r="D5" s="3" t="s">
        <v>73</v>
      </c>
      <c r="E5" s="3" t="s">
        <v>80</v>
      </c>
      <c r="F5" s="3" t="s">
        <v>81</v>
      </c>
    </row>
    <row r="6">
      <c r="A6" s="82"/>
      <c r="B6" s="82" t="s">
        <v>82</v>
      </c>
      <c r="C6" s="100" t="s">
        <v>83</v>
      </c>
      <c r="D6" s="101"/>
      <c r="E6" s="102"/>
      <c r="F6" s="3"/>
    </row>
    <row r="7">
      <c r="A7" s="82"/>
      <c r="B7" s="82" t="s">
        <v>77</v>
      </c>
      <c r="C7" s="3" t="s">
        <v>78</v>
      </c>
      <c r="D7" s="3"/>
      <c r="E7" s="3" t="s">
        <v>84</v>
      </c>
      <c r="F7" s="3"/>
    </row>
    <row r="8">
      <c r="A8" s="82"/>
      <c r="B8" s="82"/>
      <c r="C8" s="97"/>
      <c r="D8" s="82"/>
      <c r="E8" s="82"/>
      <c r="F8" s="82"/>
    </row>
    <row r="9">
      <c r="A9" s="3" t="s">
        <v>38</v>
      </c>
      <c r="B9" s="3" t="s">
        <v>72</v>
      </c>
      <c r="C9" s="98">
        <v>250000.0</v>
      </c>
      <c r="D9" s="3"/>
      <c r="E9" s="3"/>
      <c r="F9" s="82"/>
    </row>
    <row r="10">
      <c r="A10" s="82"/>
      <c r="B10" s="3" t="s">
        <v>82</v>
      </c>
      <c r="C10" s="107" t="s">
        <v>76</v>
      </c>
      <c r="D10" s="106"/>
      <c r="E10" s="106"/>
      <c r="F10" s="82"/>
    </row>
    <row r="11">
      <c r="A11" s="82"/>
      <c r="B11" s="3" t="s">
        <v>77</v>
      </c>
      <c r="C11" s="106"/>
      <c r="D11" s="3" t="s">
        <v>78</v>
      </c>
      <c r="E11" s="3" t="s">
        <v>85</v>
      </c>
      <c r="F11" s="82"/>
    </row>
    <row r="12">
      <c r="A12" s="82"/>
      <c r="B12" s="82"/>
      <c r="C12" s="97"/>
      <c r="D12" s="82"/>
      <c r="E12" s="82"/>
      <c r="F12" s="82"/>
    </row>
    <row r="13">
      <c r="A13" s="82"/>
      <c r="B13" s="82"/>
      <c r="C13" s="97"/>
      <c r="D13" s="82"/>
      <c r="E13" s="82"/>
      <c r="F13" s="82"/>
    </row>
    <row r="14">
      <c r="A14" s="82"/>
      <c r="B14" s="3" t="s">
        <v>87</v>
      </c>
      <c r="C14" s="98">
        <v>1500000.0</v>
      </c>
      <c r="D14" s="82"/>
      <c r="E14" s="82"/>
      <c r="F14" s="82"/>
    </row>
    <row r="15">
      <c r="A15" s="82"/>
      <c r="B15" s="3" t="s">
        <v>88</v>
      </c>
      <c r="C15" s="98">
        <v>1000000.0</v>
      </c>
      <c r="D15" s="82"/>
      <c r="E15" s="82"/>
      <c r="F15" s="82"/>
    </row>
    <row r="16">
      <c r="A16" s="82" t="s">
        <v>89</v>
      </c>
      <c r="B16" s="3" t="s">
        <v>72</v>
      </c>
      <c r="C16" s="98">
        <v>500000.0</v>
      </c>
      <c r="D16" s="82"/>
      <c r="E16" s="82"/>
      <c r="F16" s="82"/>
    </row>
    <row r="17">
      <c r="A17" s="82"/>
      <c r="B17" s="3" t="s">
        <v>82</v>
      </c>
      <c r="C17" s="106" t="s">
        <v>90</v>
      </c>
      <c r="D17" s="82"/>
      <c r="E17" s="82"/>
      <c r="F17" s="82"/>
    </row>
    <row r="18">
      <c r="A18" s="82"/>
      <c r="B18" s="3" t="s">
        <v>91</v>
      </c>
      <c r="C18" s="3" t="s">
        <v>85</v>
      </c>
      <c r="D18" s="82"/>
      <c r="E18" s="82"/>
      <c r="F18" s="82"/>
    </row>
    <row r="19">
      <c r="A19" s="82"/>
      <c r="B19" s="82"/>
      <c r="C19" s="82"/>
      <c r="D19" s="82"/>
      <c r="E19" s="82"/>
      <c r="F19" s="82"/>
    </row>
    <row r="20">
      <c r="A20" s="82"/>
      <c r="B20" s="82"/>
      <c r="C20" s="82"/>
      <c r="D20" s="82"/>
      <c r="E20" s="82"/>
      <c r="F20" s="82"/>
    </row>
    <row r="21">
      <c r="A21" s="82" t="s">
        <v>96</v>
      </c>
      <c r="B21" s="82" t="s">
        <v>97</v>
      </c>
      <c r="C21" s="82"/>
      <c r="D21" s="82"/>
      <c r="E21" s="82"/>
      <c r="F21" s="82"/>
    </row>
  </sheetData>
  <mergeCells count="2">
    <mergeCell ref="A2:F3"/>
    <mergeCell ref="C6:E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43.0"/>
    <col customWidth="1" min="14" max="14" width="68.5"/>
  </cols>
  <sheetData>
    <row r="1">
      <c r="A1" s="1" t="s">
        <v>0</v>
      </c>
      <c r="B1" s="2" t="s">
        <v>1</v>
      </c>
      <c r="C1" s="3"/>
      <c r="D1" s="3"/>
      <c r="E1" s="3"/>
      <c r="F1" s="4" t="s">
        <v>2</v>
      </c>
      <c r="G1" s="4" t="s">
        <v>3</v>
      </c>
      <c r="H1" s="4" t="s">
        <v>4</v>
      </c>
      <c r="I1" s="4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3"/>
    </row>
    <row r="2">
      <c r="A2" s="6" t="s">
        <v>104</v>
      </c>
      <c r="B2" s="7"/>
      <c r="C2" s="8" t="s">
        <v>11</v>
      </c>
      <c r="D2" s="9" t="s">
        <v>12</v>
      </c>
      <c r="E2" s="10">
        <v>8.5E10</v>
      </c>
      <c r="F2" s="11"/>
      <c r="G2" s="11"/>
      <c r="H2" s="11"/>
      <c r="I2" s="11"/>
      <c r="J2" s="12">
        <f>F2+G2+H2+I2</f>
        <v>0</v>
      </c>
      <c r="K2" s="13">
        <f t="shared" ref="K2:K7" si="1">J2/E2*100%</f>
        <v>0</v>
      </c>
      <c r="L2" s="14">
        <v>0.3</v>
      </c>
      <c r="M2" s="13">
        <f t="shared" ref="M2:M7" si="2">L2*K2</f>
        <v>0</v>
      </c>
      <c r="N2" s="15"/>
    </row>
    <row r="3">
      <c r="A3" s="16"/>
      <c r="B3" s="17"/>
      <c r="C3" s="18" t="s">
        <v>13</v>
      </c>
      <c r="D3" s="9" t="s">
        <v>12</v>
      </c>
      <c r="E3" s="14">
        <v>1.0</v>
      </c>
      <c r="F3" s="19"/>
      <c r="G3" s="19"/>
      <c r="H3" s="19"/>
      <c r="I3" s="19"/>
      <c r="J3" s="14">
        <f t="shared" ref="J3:J7" si="3">E3-F3-G3-H3-I3</f>
        <v>1</v>
      </c>
      <c r="K3" s="13">
        <f t="shared" si="1"/>
        <v>1</v>
      </c>
      <c r="L3" s="14">
        <v>0.15</v>
      </c>
      <c r="M3" s="13">
        <f t="shared" si="2"/>
        <v>0.15</v>
      </c>
      <c r="N3" s="20" t="s">
        <v>14</v>
      </c>
    </row>
    <row r="4">
      <c r="A4" s="16"/>
      <c r="B4" s="17"/>
      <c r="C4" s="18" t="s">
        <v>15</v>
      </c>
      <c r="D4" s="9" t="s">
        <v>12</v>
      </c>
      <c r="E4" s="13">
        <v>1.0</v>
      </c>
      <c r="F4" s="19"/>
      <c r="G4" s="19"/>
      <c r="H4" s="19"/>
      <c r="I4" s="19"/>
      <c r="J4" s="14">
        <f t="shared" si="3"/>
        <v>1</v>
      </c>
      <c r="K4" s="13">
        <f t="shared" si="1"/>
        <v>1</v>
      </c>
      <c r="L4" s="14">
        <v>0.2</v>
      </c>
      <c r="M4" s="13">
        <f t="shared" si="2"/>
        <v>0.2</v>
      </c>
      <c r="N4" s="20" t="s">
        <v>16</v>
      </c>
    </row>
    <row r="5">
      <c r="A5" s="16"/>
      <c r="B5" s="17"/>
      <c r="C5" s="18" t="s">
        <v>17</v>
      </c>
      <c r="D5" s="9" t="s">
        <v>12</v>
      </c>
      <c r="E5" s="13">
        <v>1.0</v>
      </c>
      <c r="F5" s="19"/>
      <c r="G5" s="19"/>
      <c r="H5" s="19"/>
      <c r="I5" s="19"/>
      <c r="J5" s="14">
        <f t="shared" si="3"/>
        <v>1</v>
      </c>
      <c r="K5" s="13">
        <f t="shared" si="1"/>
        <v>1</v>
      </c>
      <c r="L5" s="14">
        <v>0.15</v>
      </c>
      <c r="M5" s="13">
        <f t="shared" si="2"/>
        <v>0.15</v>
      </c>
      <c r="N5" s="20" t="s">
        <v>18</v>
      </c>
    </row>
    <row r="6">
      <c r="A6" s="16"/>
      <c r="B6" s="17"/>
      <c r="C6" s="18" t="s">
        <v>19</v>
      </c>
      <c r="D6" s="9" t="s">
        <v>12</v>
      </c>
      <c r="E6" s="13">
        <v>1.0</v>
      </c>
      <c r="F6" s="19"/>
      <c r="G6" s="19"/>
      <c r="H6" s="19"/>
      <c r="I6" s="19"/>
      <c r="J6" s="14">
        <f t="shared" si="3"/>
        <v>1</v>
      </c>
      <c r="K6" s="13">
        <f t="shared" si="1"/>
        <v>1</v>
      </c>
      <c r="L6" s="14">
        <v>0.1</v>
      </c>
      <c r="M6" s="13">
        <f t="shared" si="2"/>
        <v>0.1</v>
      </c>
      <c r="N6" s="20" t="s">
        <v>20</v>
      </c>
    </row>
    <row r="7">
      <c r="A7" s="16"/>
      <c r="B7" s="21" t="s">
        <v>21</v>
      </c>
      <c r="C7" s="18" t="s">
        <v>22</v>
      </c>
      <c r="D7" s="9" t="s">
        <v>12</v>
      </c>
      <c r="E7" s="13">
        <v>1.0</v>
      </c>
      <c r="F7" s="19"/>
      <c r="G7" s="19"/>
      <c r="H7" s="19"/>
      <c r="I7" s="19"/>
      <c r="J7" s="14">
        <f t="shared" si="3"/>
        <v>1</v>
      </c>
      <c r="K7" s="13">
        <f t="shared" si="1"/>
        <v>1</v>
      </c>
      <c r="L7" s="22">
        <v>0.1</v>
      </c>
      <c r="M7" s="13">
        <f t="shared" si="2"/>
        <v>0.1</v>
      </c>
      <c r="N7" s="20" t="s">
        <v>23</v>
      </c>
    </row>
    <row r="8">
      <c r="A8" s="16"/>
      <c r="B8" s="17"/>
      <c r="C8" s="15"/>
      <c r="D8" s="15"/>
      <c r="E8" s="15"/>
      <c r="F8" s="15"/>
      <c r="G8" s="15"/>
      <c r="H8" s="15"/>
      <c r="I8" s="15"/>
      <c r="J8" s="15"/>
      <c r="K8" s="15"/>
      <c r="L8" s="22">
        <f t="shared" ref="L8:M8" si="4">sum(L2:L7)</f>
        <v>1</v>
      </c>
      <c r="M8" s="23">
        <f t="shared" si="4"/>
        <v>0.7</v>
      </c>
      <c r="N8" s="15"/>
    </row>
    <row r="9">
      <c r="A9" s="24"/>
      <c r="B9" s="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</row>
    <row r="12">
      <c r="A12" s="1" t="s">
        <v>0</v>
      </c>
      <c r="B12" s="2" t="s">
        <v>1</v>
      </c>
      <c r="C12" s="3"/>
      <c r="D12" s="3"/>
      <c r="E12" s="3"/>
      <c r="F12" s="4" t="s">
        <v>2</v>
      </c>
      <c r="G12" s="4" t="s">
        <v>3</v>
      </c>
      <c r="H12" s="4" t="s">
        <v>4</v>
      </c>
      <c r="I12" s="4" t="s">
        <v>5</v>
      </c>
      <c r="J12" s="5" t="s">
        <v>6</v>
      </c>
      <c r="K12" s="5" t="s">
        <v>7</v>
      </c>
      <c r="L12" s="5" t="s">
        <v>8</v>
      </c>
      <c r="M12" s="5" t="s">
        <v>9</v>
      </c>
      <c r="N12" s="3"/>
    </row>
    <row r="13">
      <c r="A13" s="83" t="s">
        <v>105</v>
      </c>
      <c r="B13" s="84" t="s">
        <v>51</v>
      </c>
      <c r="C13" s="85" t="s">
        <v>63</v>
      </c>
      <c r="D13" s="86" t="s">
        <v>64</v>
      </c>
      <c r="E13" s="108">
        <v>8.5E10</v>
      </c>
      <c r="F13" s="88"/>
      <c r="G13" s="88"/>
      <c r="H13" s="88"/>
      <c r="I13" s="88"/>
      <c r="J13" s="89"/>
      <c r="K13" s="90">
        <f t="shared" ref="K13:K16" si="5">J13/E13*100%</f>
        <v>0</v>
      </c>
      <c r="L13" s="90">
        <v>0.4</v>
      </c>
      <c r="M13" s="91" t="e">
        <v>#DIV/0!</v>
      </c>
      <c r="N13" s="89"/>
    </row>
    <row r="14">
      <c r="A14" s="16"/>
      <c r="B14" s="16"/>
      <c r="C14" s="85" t="s">
        <v>65</v>
      </c>
      <c r="D14" s="92" t="s">
        <v>64</v>
      </c>
      <c r="E14" s="93">
        <v>1.0</v>
      </c>
      <c r="F14" s="88"/>
      <c r="G14" s="88"/>
      <c r="H14" s="88"/>
      <c r="I14" s="88"/>
      <c r="J14" s="89"/>
      <c r="K14" s="90">
        <f t="shared" si="5"/>
        <v>0</v>
      </c>
      <c r="L14" s="90">
        <v>0.25</v>
      </c>
      <c r="M14" s="91" t="e">
        <v>#DIV/0!</v>
      </c>
      <c r="N14" s="92" t="s">
        <v>66</v>
      </c>
    </row>
    <row r="15">
      <c r="A15" s="16"/>
      <c r="B15" s="16"/>
      <c r="C15" s="85" t="s">
        <v>101</v>
      </c>
      <c r="D15" s="92" t="s">
        <v>64</v>
      </c>
      <c r="E15" s="93">
        <v>1.0</v>
      </c>
      <c r="F15" s="88"/>
      <c r="G15" s="88"/>
      <c r="H15" s="88"/>
      <c r="I15" s="88"/>
      <c r="J15" s="89"/>
      <c r="K15" s="90">
        <f t="shared" si="5"/>
        <v>0</v>
      </c>
      <c r="L15" s="90">
        <v>0.2</v>
      </c>
      <c r="M15" s="91" t="e">
        <v>#DIV/0!</v>
      </c>
      <c r="N15" s="92" t="s">
        <v>66</v>
      </c>
    </row>
    <row r="16">
      <c r="A16" s="16"/>
      <c r="B16" s="16"/>
      <c r="C16" s="85" t="s">
        <v>102</v>
      </c>
      <c r="D16" s="92" t="s">
        <v>64</v>
      </c>
      <c r="E16" s="93">
        <v>1.0</v>
      </c>
      <c r="F16" s="88"/>
      <c r="G16" s="88"/>
      <c r="H16" s="88"/>
      <c r="I16" s="88"/>
      <c r="J16" s="89"/>
      <c r="K16" s="90">
        <f t="shared" si="5"/>
        <v>0</v>
      </c>
      <c r="L16" s="90">
        <v>0.15</v>
      </c>
      <c r="M16" s="91" t="e">
        <v>#DIV/0!</v>
      </c>
      <c r="N16" s="92" t="s">
        <v>66</v>
      </c>
    </row>
    <row r="17">
      <c r="A17" s="16"/>
      <c r="B17" s="16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>
      <c r="A18" s="16"/>
      <c r="B18" s="16"/>
      <c r="C18" s="89"/>
      <c r="D18" s="89"/>
      <c r="E18" s="89"/>
      <c r="F18" s="89"/>
      <c r="G18" s="89"/>
      <c r="H18" s="89"/>
      <c r="I18" s="89"/>
      <c r="J18" s="89"/>
      <c r="K18" s="89"/>
      <c r="L18" s="94">
        <v>1.0</v>
      </c>
      <c r="M18" s="95" t="e">
        <v>#DIV/0!</v>
      </c>
      <c r="N18" s="89"/>
    </row>
    <row r="19">
      <c r="A19" s="16"/>
      <c r="B19" s="16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</row>
    <row r="20">
      <c r="A20" s="16"/>
      <c r="B20" s="16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</row>
    <row r="21">
      <c r="A21" s="16"/>
      <c r="B21" s="16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</row>
    <row r="22">
      <c r="A22" s="24"/>
      <c r="B22" s="24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</row>
  </sheetData>
  <mergeCells count="3">
    <mergeCell ref="A2:A9"/>
    <mergeCell ref="A13:A22"/>
    <mergeCell ref="B13:B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09" t="s">
        <v>106</v>
      </c>
    </row>
    <row r="3">
      <c r="A3" s="82"/>
      <c r="B3" s="82"/>
      <c r="C3" s="97"/>
      <c r="D3" s="82"/>
      <c r="E3" s="82"/>
      <c r="F3" s="82"/>
    </row>
    <row r="4">
      <c r="A4" s="82" t="s">
        <v>71</v>
      </c>
      <c r="B4" s="82" t="s">
        <v>72</v>
      </c>
      <c r="C4" s="98">
        <v>250000.0</v>
      </c>
      <c r="D4" s="3" t="s">
        <v>73</v>
      </c>
      <c r="E4" s="3" t="s">
        <v>107</v>
      </c>
      <c r="F4" s="99">
        <v>500.0</v>
      </c>
    </row>
    <row r="5">
      <c r="A5" s="82"/>
      <c r="B5" s="82" t="s">
        <v>108</v>
      </c>
      <c r="C5" s="100" t="s">
        <v>109</v>
      </c>
      <c r="D5" s="101"/>
      <c r="E5" s="101"/>
      <c r="F5" s="102"/>
    </row>
    <row r="6">
      <c r="A6" s="82"/>
      <c r="B6" s="82" t="s">
        <v>77</v>
      </c>
      <c r="C6" s="110" t="s">
        <v>78</v>
      </c>
      <c r="D6" s="101"/>
      <c r="E6" s="101"/>
      <c r="F6" s="102"/>
    </row>
    <row r="7">
      <c r="A7" s="82"/>
      <c r="B7" s="82"/>
      <c r="C7" s="97"/>
      <c r="D7" s="82"/>
      <c r="E7" s="82"/>
      <c r="F7" s="82"/>
    </row>
    <row r="8">
      <c r="A8" s="82" t="s">
        <v>89</v>
      </c>
      <c r="B8" s="3" t="s">
        <v>87</v>
      </c>
      <c r="C8" s="98">
        <v>1500000.0</v>
      </c>
      <c r="D8" s="82"/>
      <c r="E8" s="82"/>
      <c r="F8" s="82"/>
    </row>
    <row r="9">
      <c r="A9" s="82"/>
      <c r="B9" s="3" t="s">
        <v>92</v>
      </c>
      <c r="C9" s="98">
        <v>1000000.0</v>
      </c>
      <c r="D9" s="82"/>
      <c r="E9" s="82"/>
      <c r="F9" s="82"/>
    </row>
    <row r="10">
      <c r="A10" s="82"/>
      <c r="B10" s="3" t="s">
        <v>72</v>
      </c>
      <c r="C10" s="98">
        <v>500000.0</v>
      </c>
      <c r="D10" s="82"/>
      <c r="E10" s="82"/>
      <c r="F10" s="82"/>
    </row>
    <row r="11">
      <c r="A11" s="82"/>
      <c r="B11" s="3" t="s">
        <v>108</v>
      </c>
      <c r="C11" s="106" t="s">
        <v>110</v>
      </c>
      <c r="D11" s="82"/>
      <c r="E11" s="82"/>
      <c r="F11" s="82"/>
    </row>
    <row r="12">
      <c r="A12" s="82"/>
      <c r="B12" s="3" t="s">
        <v>111</v>
      </c>
      <c r="C12" s="3" t="s">
        <v>112</v>
      </c>
      <c r="D12" s="82"/>
      <c r="E12" s="82"/>
      <c r="F12" s="82"/>
    </row>
    <row r="13">
      <c r="A13" s="82"/>
      <c r="B13" s="82"/>
      <c r="C13" s="82"/>
      <c r="D13" s="82"/>
      <c r="E13" s="82"/>
      <c r="F13" s="82"/>
    </row>
  </sheetData>
  <mergeCells count="3">
    <mergeCell ref="A1:F2"/>
    <mergeCell ref="C5:F5"/>
    <mergeCell ref="C6:F6"/>
  </mergeCells>
  <drawing r:id="rId1"/>
</worksheet>
</file>